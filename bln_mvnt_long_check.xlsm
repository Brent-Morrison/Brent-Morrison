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rent\Documents\R\Financial_reporting\"/>
    </mc:Choice>
  </mc:AlternateContent>
  <xr:revisionPtr revIDLastSave="0" documentId="13_ncr:1_{B1804A9E-B2F6-4561-BEFE-0C3EE381C1C7}" xr6:coauthVersionLast="38" xr6:coauthVersionMax="38" xr10:uidLastSave="{00000000-0000-0000-0000-000000000000}"/>
  <bookViews>
    <workbookView xWindow="0" yWindow="0" windowWidth="20490" windowHeight="7830" xr2:uid="{00000000-000D-0000-FFFF-FFFF00000000}"/>
  </bookViews>
  <sheets>
    <sheet name="data_v01" sheetId="3" r:id="rId1"/>
    <sheet name="bln_mvnt" sheetId="5" r:id="rId2"/>
    <sheet name="bln_mvnt_long" sheetId="1" r:id="rId3"/>
    <sheet name="check" sheetId="2" r:id="rId4"/>
    <sheet name="Lookup" sheetId="4" r:id="rId5"/>
  </sheets>
  <definedNames>
    <definedName name="_xlnm._FilterDatabase" localSheetId="2" hidden="1">bln_mvnt_long!$A$4:$L$537</definedName>
    <definedName name="_xlnm._FilterDatabase" localSheetId="0" hidden="1">data_v01!$A$1:$N$90</definedName>
  </definedNames>
  <calcPr calcId="181029"/>
  <pivotCaches>
    <pivotCache cacheId="29" r:id="rId6"/>
  </pivotCaches>
</workbook>
</file>

<file path=xl/calcChain.xml><?xml version="1.0" encoding="utf-8"?>
<calcChain xmlns="http://schemas.openxmlformats.org/spreadsheetml/2006/main">
  <c r="I129" i="3" l="1"/>
  <c r="I128" i="3"/>
  <c r="J128" i="3" s="1"/>
  <c r="I127" i="3"/>
  <c r="J127" i="3" s="1"/>
  <c r="J118" i="3"/>
  <c r="I118" i="3"/>
  <c r="I119" i="3" s="1"/>
  <c r="H118" i="3"/>
  <c r="J117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I107" i="3"/>
  <c r="J107" i="3" s="1"/>
  <c r="J106" i="3"/>
  <c r="A7" i="2"/>
  <c r="A5" i="2"/>
  <c r="D1" i="2"/>
  <c r="N12" i="2"/>
  <c r="M12" i="2"/>
  <c r="L12" i="2"/>
  <c r="K12" i="2"/>
  <c r="J12" i="2"/>
  <c r="I12" i="2"/>
  <c r="H12" i="2"/>
  <c r="G12" i="2"/>
  <c r="F12" i="2"/>
  <c r="E12" i="2"/>
  <c r="D12" i="2"/>
  <c r="N11" i="2"/>
  <c r="M11" i="2"/>
  <c r="L11" i="2"/>
  <c r="K11" i="2"/>
  <c r="J11" i="2"/>
  <c r="I11" i="2"/>
  <c r="H11" i="2"/>
  <c r="G11" i="2"/>
  <c r="F11" i="2"/>
  <c r="E11" i="2"/>
  <c r="D11" i="2"/>
  <c r="N10" i="2"/>
  <c r="M10" i="2"/>
  <c r="L10" i="2"/>
  <c r="K10" i="2"/>
  <c r="J10" i="2"/>
  <c r="I10" i="2"/>
  <c r="H10" i="2"/>
  <c r="G10" i="2"/>
  <c r="F10" i="2"/>
  <c r="E10" i="2"/>
  <c r="D10" i="2"/>
  <c r="N9" i="2"/>
  <c r="M9" i="2"/>
  <c r="L9" i="2"/>
  <c r="K9" i="2"/>
  <c r="J9" i="2"/>
  <c r="I9" i="2"/>
  <c r="H9" i="2"/>
  <c r="G9" i="2"/>
  <c r="F9" i="2"/>
  <c r="E9" i="2"/>
  <c r="D9" i="2"/>
  <c r="N8" i="2"/>
  <c r="M8" i="2"/>
  <c r="L8" i="2"/>
  <c r="K8" i="2"/>
  <c r="J8" i="2"/>
  <c r="I8" i="2"/>
  <c r="H8" i="2"/>
  <c r="G8" i="2"/>
  <c r="F8" i="2"/>
  <c r="E8" i="2"/>
  <c r="D8" i="2"/>
  <c r="N7" i="2"/>
  <c r="M7" i="2"/>
  <c r="L7" i="2"/>
  <c r="K7" i="2"/>
  <c r="J7" i="2"/>
  <c r="I7" i="2"/>
  <c r="H7" i="2"/>
  <c r="G7" i="2"/>
  <c r="F7" i="2"/>
  <c r="E7" i="2"/>
  <c r="D7" i="2"/>
  <c r="N6" i="2"/>
  <c r="M6" i="2"/>
  <c r="L6" i="2"/>
  <c r="K6" i="2"/>
  <c r="J6" i="2"/>
  <c r="I6" i="2"/>
  <c r="H6" i="2"/>
  <c r="G6" i="2"/>
  <c r="F6" i="2"/>
  <c r="E6" i="2"/>
  <c r="D6" i="2"/>
  <c r="N5" i="2"/>
  <c r="M5" i="2"/>
  <c r="L5" i="2"/>
  <c r="K5" i="2"/>
  <c r="J5" i="2"/>
  <c r="I5" i="2"/>
  <c r="H5" i="2"/>
  <c r="G5" i="2"/>
  <c r="F5" i="2"/>
  <c r="E5" i="2"/>
  <c r="D5" i="2"/>
  <c r="N4" i="2"/>
  <c r="M4" i="2"/>
  <c r="L4" i="2"/>
  <c r="K4" i="2"/>
  <c r="J4" i="2"/>
  <c r="I4" i="2"/>
  <c r="H4" i="2"/>
  <c r="G4" i="2"/>
  <c r="F4" i="2"/>
  <c r="E4" i="2"/>
  <c r="D4" i="2"/>
  <c r="N3" i="2"/>
  <c r="M3" i="2"/>
  <c r="L3" i="2"/>
  <c r="K3" i="2"/>
  <c r="J3" i="2"/>
  <c r="I3" i="2"/>
  <c r="H3" i="2"/>
  <c r="G3" i="2"/>
  <c r="F3" i="2"/>
  <c r="E3" i="2"/>
  <c r="D3" i="2"/>
  <c r="N2" i="2"/>
  <c r="M2" i="2"/>
  <c r="L2" i="2"/>
  <c r="K2" i="2"/>
  <c r="J2" i="2"/>
  <c r="I2" i="2"/>
  <c r="H2" i="2"/>
  <c r="G2" i="2"/>
  <c r="F2" i="2"/>
  <c r="E2" i="2"/>
  <c r="D2" i="2"/>
  <c r="N1" i="2"/>
  <c r="M1" i="2"/>
  <c r="L1" i="2"/>
  <c r="K1" i="2"/>
  <c r="J1" i="2"/>
  <c r="I1" i="2"/>
  <c r="H1" i="2"/>
  <c r="G1" i="2"/>
  <c r="F1" i="2"/>
  <c r="E1" i="2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" i="1"/>
  <c r="C21" i="4"/>
  <c r="C20" i="4"/>
  <c r="C19" i="4"/>
  <c r="D19" i="4" s="1"/>
  <c r="C18" i="4"/>
  <c r="D18" i="4" s="1"/>
  <c r="C17" i="4"/>
  <c r="C16" i="4"/>
  <c r="C15" i="4"/>
  <c r="D15" i="4" s="1"/>
  <c r="C14" i="4"/>
  <c r="D14" i="4" s="1"/>
  <c r="C13" i="4"/>
  <c r="C12" i="4"/>
  <c r="C11" i="4"/>
  <c r="D11" i="4" s="1"/>
  <c r="C10" i="4"/>
  <c r="D10" i="4" s="1"/>
  <c r="C9" i="4"/>
  <c r="C8" i="4"/>
  <c r="C7" i="4"/>
  <c r="D7" i="4" s="1"/>
  <c r="C6" i="4"/>
  <c r="D6" i="4" s="1"/>
  <c r="C5" i="4"/>
  <c r="C4" i="4"/>
  <c r="C3" i="4"/>
  <c r="D3" i="4" s="1"/>
  <c r="C2" i="4"/>
  <c r="D2" i="4" s="1"/>
  <c r="D1" i="4"/>
  <c r="D4" i="4"/>
  <c r="D5" i="4"/>
  <c r="D8" i="4"/>
  <c r="D9" i="4"/>
  <c r="D12" i="4"/>
  <c r="D13" i="4"/>
  <c r="D16" i="4"/>
  <c r="D17" i="4"/>
  <c r="D20" i="4"/>
  <c r="D21" i="4"/>
  <c r="J129" i="3" l="1"/>
  <c r="J119" i="3"/>
  <c r="I120" i="3"/>
  <c r="H119" i="3"/>
  <c r="H107" i="3"/>
  <c r="I108" i="3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6" i="1"/>
  <c r="A5" i="1"/>
  <c r="A7" i="1"/>
  <c r="D22" i="4"/>
  <c r="D23" i="4"/>
  <c r="D30" i="4"/>
  <c r="D29" i="4"/>
  <c r="D24" i="4"/>
  <c r="D25" i="4"/>
  <c r="D26" i="4"/>
  <c r="D27" i="4"/>
  <c r="D28" i="4"/>
  <c r="D31" i="4"/>
  <c r="D32" i="4"/>
  <c r="AX92" i="5"/>
  <c r="AM92" i="5"/>
  <c r="S92" i="5"/>
  <c r="P92" i="5"/>
  <c r="K92" i="5"/>
  <c r="I92" i="5"/>
  <c r="AW91" i="5"/>
  <c r="AW92" i="5" s="1"/>
  <c r="AV91" i="5"/>
  <c r="AV92" i="5" s="1"/>
  <c r="AU91" i="5"/>
  <c r="AU92" i="5" s="1"/>
  <c r="AT91" i="5"/>
  <c r="AT92" i="5" s="1"/>
  <c r="AS91" i="5"/>
  <c r="AS92" i="5" s="1"/>
  <c r="AR91" i="5"/>
  <c r="AR92" i="5" s="1"/>
  <c r="AQ91" i="5"/>
  <c r="AQ92" i="5" s="1"/>
  <c r="AP91" i="5"/>
  <c r="AO91" i="5"/>
  <c r="AO92" i="5" s="1"/>
  <c r="AN91" i="5"/>
  <c r="AN92" i="5" s="1"/>
  <c r="AL91" i="5"/>
  <c r="AL92" i="5" s="1"/>
  <c r="AK91" i="5"/>
  <c r="AK92" i="5" s="1"/>
  <c r="AJ91" i="5"/>
  <c r="AJ92" i="5" s="1"/>
  <c r="AI91" i="5"/>
  <c r="AI92" i="5" s="1"/>
  <c r="AH91" i="5"/>
  <c r="AH92" i="5" s="1"/>
  <c r="AG91" i="5"/>
  <c r="AG92" i="5" s="1"/>
  <c r="AF91" i="5"/>
  <c r="AF92" i="5" s="1"/>
  <c r="AE91" i="5"/>
  <c r="AE92" i="5" s="1"/>
  <c r="AZ90" i="5"/>
  <c r="AY90" i="5"/>
  <c r="AX88" i="5"/>
  <c r="AM88" i="5"/>
  <c r="S88" i="5"/>
  <c r="P88" i="5"/>
  <c r="K88" i="5"/>
  <c r="I88" i="5"/>
  <c r="AW87" i="5"/>
  <c r="AW88" i="5" s="1"/>
  <c r="AV87" i="5"/>
  <c r="AV88" i="5" s="1"/>
  <c r="AU87" i="5"/>
  <c r="AU88" i="5" s="1"/>
  <c r="AT87" i="5"/>
  <c r="AT88" i="5" s="1"/>
  <c r="AS87" i="5"/>
  <c r="AS88" i="5" s="1"/>
  <c r="AR87" i="5"/>
  <c r="AR88" i="5" s="1"/>
  <c r="AQ87" i="5"/>
  <c r="AQ88" i="5" s="1"/>
  <c r="AP87" i="5"/>
  <c r="AO87" i="5"/>
  <c r="AO88" i="5" s="1"/>
  <c r="AN87" i="5"/>
  <c r="AN88" i="5" s="1"/>
  <c r="AL87" i="5"/>
  <c r="AL88" i="5" s="1"/>
  <c r="AK87" i="5"/>
  <c r="AK88" i="5" s="1"/>
  <c r="AJ87" i="5"/>
  <c r="AJ88" i="5" s="1"/>
  <c r="AI87" i="5"/>
  <c r="AI88" i="5" s="1"/>
  <c r="AH87" i="5"/>
  <c r="AH88" i="5" s="1"/>
  <c r="AG87" i="5"/>
  <c r="AG88" i="5" s="1"/>
  <c r="AF87" i="5"/>
  <c r="AF88" i="5" s="1"/>
  <c r="AE87" i="5"/>
  <c r="AE88" i="5" s="1"/>
  <c r="P87" i="5"/>
  <c r="AZ86" i="5"/>
  <c r="AY86" i="5"/>
  <c r="J120" i="3" l="1"/>
  <c r="I121" i="3"/>
  <c r="H120" i="3"/>
  <c r="J108" i="3"/>
  <c r="I109" i="3"/>
  <c r="H108" i="3"/>
  <c r="AZ87" i="5"/>
  <c r="AZ91" i="5"/>
  <c r="AY88" i="5"/>
  <c r="AY92" i="5"/>
  <c r="AY87" i="5"/>
  <c r="AY91" i="5"/>
  <c r="AP88" i="5"/>
  <c r="AZ88" i="5" s="1"/>
  <c r="AP92" i="5"/>
  <c r="AZ92" i="5" s="1"/>
  <c r="I122" i="3" l="1"/>
  <c r="H121" i="3"/>
  <c r="J121" i="3"/>
  <c r="I110" i="3"/>
  <c r="H109" i="3"/>
  <c r="J109" i="3"/>
  <c r="I123" i="3" l="1"/>
  <c r="H122" i="3"/>
  <c r="J122" i="3"/>
  <c r="I111" i="3"/>
  <c r="H110" i="3"/>
  <c r="J110" i="3"/>
  <c r="J123" i="3" l="1"/>
  <c r="I124" i="3"/>
  <c r="H123" i="3"/>
  <c r="I112" i="3"/>
  <c r="J111" i="3"/>
  <c r="H111" i="3"/>
  <c r="I125" i="3" l="1"/>
  <c r="J124" i="3"/>
  <c r="H124" i="3"/>
  <c r="I113" i="3"/>
  <c r="J112" i="3"/>
  <c r="H112" i="3"/>
  <c r="I126" i="3" l="1"/>
  <c r="H125" i="3"/>
  <c r="J125" i="3"/>
  <c r="I114" i="3"/>
  <c r="H113" i="3"/>
  <c r="J113" i="3"/>
  <c r="H126" i="3" l="1"/>
  <c r="H127" i="3" s="1"/>
  <c r="H128" i="3" s="1"/>
  <c r="H129" i="3" s="1"/>
  <c r="J126" i="3"/>
  <c r="I115" i="3"/>
  <c r="H114" i="3"/>
  <c r="J114" i="3"/>
  <c r="I116" i="3" l="1"/>
  <c r="H115" i="3"/>
  <c r="J115" i="3"/>
  <c r="J116" i="3" l="1"/>
  <c r="H116" i="3"/>
</calcChain>
</file>

<file path=xl/sharedStrings.xml><?xml version="1.0" encoding="utf-8"?>
<sst xmlns="http://schemas.openxmlformats.org/spreadsheetml/2006/main" count="3865" uniqueCount="219">
  <si>
    <t>date</t>
  </si>
  <si>
    <t>cust</t>
  </si>
  <si>
    <t>pre.post</t>
  </si>
  <si>
    <t>ctgy</t>
  </si>
  <si>
    <t>bal.type</t>
  </si>
  <si>
    <t>m.type</t>
  </si>
  <si>
    <t>4000001_5000</t>
  </si>
  <si>
    <t>post</t>
  </si>
  <si>
    <t>ecl</t>
  </si>
  <si>
    <t>cl</t>
  </si>
  <si>
    <t>m.rd.r</t>
  </si>
  <si>
    <t>m.rem</t>
  </si>
  <si>
    <t>m.rem.mig</t>
  </si>
  <si>
    <t>m.wof</t>
  </si>
  <si>
    <t>op</t>
  </si>
  <si>
    <t>gca</t>
  </si>
  <si>
    <t>4000002_5000</t>
  </si>
  <si>
    <t>m.rd.t.f</t>
  </si>
  <si>
    <t>m.oth</t>
  </si>
  <si>
    <t>4000003_5000</t>
  </si>
  <si>
    <t>4000004_5000</t>
  </si>
  <si>
    <t>m.rd.t</t>
  </si>
  <si>
    <t>4000005_5000</t>
  </si>
  <si>
    <t>4000006_5000</t>
  </si>
  <si>
    <t>m.dd.r</t>
  </si>
  <si>
    <t>m.prm</t>
  </si>
  <si>
    <t>4000007_5000</t>
  </si>
  <si>
    <t>4000008_5000</t>
  </si>
  <si>
    <t>pre</t>
  </si>
  <si>
    <t>4000009_5000</t>
  </si>
  <si>
    <t>4000010_5000</t>
  </si>
  <si>
    <t>4000011_5000</t>
  </si>
  <si>
    <t>m.dd.t</t>
  </si>
  <si>
    <t>4000012_5000</t>
  </si>
  <si>
    <t>4000021_5000</t>
  </si>
  <si>
    <t>4000022_5000</t>
  </si>
  <si>
    <t>4000023_5000</t>
  </si>
  <si>
    <t>4000024_5000</t>
  </si>
  <si>
    <t>4000025_5000</t>
  </si>
  <si>
    <t>4000026_5000</t>
  </si>
  <si>
    <t>4000027_5000</t>
  </si>
  <si>
    <t>4000028_5000</t>
  </si>
  <si>
    <t>Grand Total</t>
  </si>
  <si>
    <t>gca Total</t>
  </si>
  <si>
    <t>ecl Total</t>
  </si>
  <si>
    <t>year</t>
  </si>
  <si>
    <t>mth</t>
  </si>
  <si>
    <t>unit</t>
  </si>
  <si>
    <t>type</t>
  </si>
  <si>
    <t>stage</t>
  </si>
  <si>
    <t>poci</t>
  </si>
  <si>
    <t>bal</t>
  </si>
  <si>
    <t>wof</t>
  </si>
  <si>
    <t>pryr</t>
  </si>
  <si>
    <t>prlt</t>
  </si>
  <si>
    <t>Notes</t>
  </si>
  <si>
    <t>rvlv</t>
  </si>
  <si>
    <t>N</t>
  </si>
  <si>
    <t>NA</t>
  </si>
  <si>
    <t>open</t>
  </si>
  <si>
    <t>downgrade</t>
  </si>
  <si>
    <t>charge, full write-off, no stage</t>
  </si>
  <si>
    <t>term</t>
  </si>
  <si>
    <t>charge, full write-off, no stage, residual fee</t>
  </si>
  <si>
    <t>release, full write-off, no stage, residual fee</t>
  </si>
  <si>
    <t>charge, partal write-off, no stage, residual fee</t>
  </si>
  <si>
    <t>last entry assume repaid</t>
  </si>
  <si>
    <t>open, bad data</t>
  </si>
  <si>
    <t>bad data</t>
  </si>
  <si>
    <t>good data</t>
  </si>
  <si>
    <t>Y</t>
  </si>
  <si>
    <t>upgrade, to non-poci</t>
  </si>
  <si>
    <t>original</t>
  </si>
  <si>
    <t>U</t>
  </si>
  <si>
    <t>decr</t>
  </si>
  <si>
    <t>incr</t>
  </si>
  <si>
    <t>unch</t>
  </si>
  <si>
    <t>D</t>
  </si>
  <si>
    <t>I</t>
  </si>
  <si>
    <t>ecl.ch</t>
  </si>
  <si>
    <t>gca.ch</t>
  </si>
  <si>
    <t>ecl.m.tfr.i</t>
  </si>
  <si>
    <t>ecl.m.tfr.o</t>
  </si>
  <si>
    <t>ecl.m.rem</t>
  </si>
  <si>
    <t>ecl.m.rem.mig</t>
  </si>
  <si>
    <t>ecl.m.prm</t>
  </si>
  <si>
    <t>ecl.m.wof</t>
  </si>
  <si>
    <t>ecl.m.rd.r</t>
  </si>
  <si>
    <t>ecl.m.rd.t</t>
  </si>
  <si>
    <t>ecl.m.rd.t.f</t>
  </si>
  <si>
    <t>ecl.m.dd.t</t>
  </si>
  <si>
    <t>ecl.m.dd.r</t>
  </si>
  <si>
    <t>gca.m.tfr.i</t>
  </si>
  <si>
    <t>gca.m.tfr.o</t>
  </si>
  <si>
    <t>gca.m.wof</t>
  </si>
  <si>
    <t>gca.m.oth</t>
  </si>
  <si>
    <t>gca.m.rd.r</t>
  </si>
  <si>
    <t>gca.m.rd.t</t>
  </si>
  <si>
    <t>gca.m.rd.t.f</t>
  </si>
  <si>
    <t>gca.m.dd.t</t>
  </si>
  <si>
    <t>gca.m.dd.r</t>
  </si>
  <si>
    <t>pre.stage</t>
  </si>
  <si>
    <t>ctgy.dir</t>
  </si>
  <si>
    <t>incr.decr</t>
  </si>
  <si>
    <t>cover</t>
  </si>
  <si>
    <t>cover.op</t>
  </si>
  <si>
    <t>cover.cl</t>
  </si>
  <si>
    <t>bal.y.rd</t>
  </si>
  <si>
    <t>bal.y.dd</t>
  </si>
  <si>
    <t>bal.y</t>
  </si>
  <si>
    <t>ctgy.op</t>
  </si>
  <si>
    <t>ecl.op</t>
  </si>
  <si>
    <t>bal.pr</t>
  </si>
  <si>
    <t>bal.op</t>
  </si>
  <si>
    <t>gca.op</t>
  </si>
  <si>
    <t>ctgy.cl</t>
  </si>
  <si>
    <t>wof.cl</t>
  </si>
  <si>
    <t>ecl.cl</t>
  </si>
  <si>
    <t>bal.cl</t>
  </si>
  <si>
    <t>gca.cl</t>
  </si>
  <si>
    <t>x</t>
  </si>
  <si>
    <t>always RA_689.cl</t>
  </si>
  <si>
    <t>always RA_689.op</t>
  </si>
  <si>
    <t>IF "pre_post" = pre, THEN stage = RA_689.op, ELSE stage = RA_689.cl</t>
  </si>
  <si>
    <t>fixed</t>
  </si>
  <si>
    <t>rule</t>
  </si>
  <si>
    <t>close</t>
  </si>
  <si>
    <t>tran_ccy</t>
  </si>
  <si>
    <t>Sum of tran_ccy</t>
  </si>
  <si>
    <t>(All)</t>
  </si>
  <si>
    <t>a</t>
  </si>
  <si>
    <t>b</t>
  </si>
  <si>
    <t>d</t>
  </si>
  <si>
    <t>e</t>
  </si>
  <si>
    <t>f</t>
  </si>
  <si>
    <t>drawdown_term</t>
  </si>
  <si>
    <t>drawdown_rvlv</t>
  </si>
  <si>
    <t>other</t>
  </si>
  <si>
    <t>repay_rvlv</t>
  </si>
  <si>
    <t>repay_term</t>
  </si>
  <si>
    <t>repay_term_final</t>
  </si>
  <si>
    <t>re-measure_no_migr</t>
  </si>
  <si>
    <t>re-measure_migr</t>
  </si>
  <si>
    <t>write_off</t>
  </si>
  <si>
    <t>c</t>
  </si>
  <si>
    <t>model_change</t>
  </si>
  <si>
    <t>g</t>
  </si>
  <si>
    <t>h</t>
  </si>
  <si>
    <t>i</t>
  </si>
  <si>
    <t>date filter</t>
  </si>
  <si>
    <t>j</t>
  </si>
  <si>
    <t>k</t>
  </si>
  <si>
    <t>l</t>
  </si>
  <si>
    <t>m</t>
  </si>
  <si>
    <t>m.type.name</t>
  </si>
  <si>
    <t>a_open</t>
  </si>
  <si>
    <t>n</t>
  </si>
  <si>
    <t>4000029_1000</t>
  </si>
  <si>
    <t>tfr.3.2</t>
  </si>
  <si>
    <t>tfr.2.3</t>
  </si>
  <si>
    <t>tfr.1.2</t>
  </si>
  <si>
    <t>tfr.5.2</t>
  </si>
  <si>
    <t>tfr.1.3</t>
  </si>
  <si>
    <t>tfr.1.5</t>
  </si>
  <si>
    <t>tfr.2.1</t>
  </si>
  <si>
    <t>tfr.1.4</t>
  </si>
  <si>
    <t>tfr.2.4</t>
  </si>
  <si>
    <t>tfr.2.5</t>
  </si>
  <si>
    <t>tfr.3.1</t>
  </si>
  <si>
    <t>tfr.3.4</t>
  </si>
  <si>
    <t>tfr.3.5</t>
  </si>
  <si>
    <t>tfr.5.1</t>
  </si>
  <si>
    <t>tfr.5.3</t>
  </si>
  <si>
    <t>tfr.5.4</t>
  </si>
  <si>
    <t>tfr.4.1</t>
  </si>
  <si>
    <t>tfr.4.2</t>
  </si>
  <si>
    <t>tfr.4.3</t>
  </si>
  <si>
    <t>tfr.4.5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</si>
  <si>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</si>
  <si>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</si>
  <si>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</si>
  <si>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</si>
  <si>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</si>
  <si>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</si>
  <si>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</si>
  <si>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</si>
  <si>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</si>
  <si>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</si>
  <si>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z</t>
  </si>
  <si>
    <t>za</t>
  </si>
  <si>
    <t>zb</t>
  </si>
  <si>
    <t>zc</t>
  </si>
  <si>
    <t>zd</t>
  </si>
  <si>
    <t>ze</t>
  </si>
  <si>
    <t>zf</t>
  </si>
  <si>
    <t>b_tfr.1.2</t>
  </si>
  <si>
    <t>c_tfr.1.3</t>
  </si>
  <si>
    <t>e_tfr.1.5</t>
  </si>
  <si>
    <t>f_tfr.2.1</t>
  </si>
  <si>
    <t>g_tfr.2.3</t>
  </si>
  <si>
    <t>k_tfr.3.2</t>
  </si>
  <si>
    <t>o_tfr.5.2</t>
  </si>
  <si>
    <t>v_drawdown_rvlv</t>
  </si>
  <si>
    <t>v_repay_rvlv</t>
  </si>
  <si>
    <t>w_drawdown_term</t>
  </si>
  <si>
    <t>y_repay_term</t>
  </si>
  <si>
    <t>z_repay_term_final</t>
  </si>
  <si>
    <t>za_re-measure_no_migr</t>
  </si>
  <si>
    <t>zb_re-measure_migr</t>
  </si>
  <si>
    <t>zc_model_change</t>
  </si>
  <si>
    <t>zd_other</t>
  </si>
  <si>
    <t>ze_write_off</t>
  </si>
  <si>
    <t>zf_close</t>
  </si>
  <si>
    <t>month</t>
  </si>
  <si>
    <t>multiple movements on revolving</t>
  </si>
  <si>
    <t>upgrade</t>
  </si>
  <si>
    <t>ecl exceeds gca</t>
  </si>
  <si>
    <t>duplicate customer in same unit</t>
  </si>
  <si>
    <t>mortgage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</si>
</sst>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 ;[Red]\-#,##0\ "/>
    <numFmt numFmtId="165" formatCode="[$-409]d\-mmm\-yy;@"/>
    <numFmt numFmtId="166" formatCode="[$-409]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 vertical="top" wrapText="1"/>
    </xf>
    <xf numFmtId="0" fontId="16" fillId="0" borderId="0" xfId="0" applyFont="1" applyAlignment="1">
      <alignment horizontal="right" vertical="top" wrapText="1"/>
    </xf>
    <xf numFmtId="4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16" fillId="33" borderId="0" xfId="0" applyFont="1" applyFill="1" applyAlignment="1">
      <alignment horizontal="center"/>
    </xf>
    <xf numFmtId="166" fontId="16" fillId="33" borderId="0" xfId="0" applyNumberFormat="1" applyFont="1" applyFill="1" applyAlignment="1">
      <alignment horizontal="center"/>
    </xf>
    <xf numFmtId="164" fontId="16" fillId="33" borderId="0" xfId="0" applyNumberFormat="1" applyFont="1" applyFill="1" applyAlignment="1">
      <alignment horizontal="right"/>
    </xf>
    <xf numFmtId="164" fontId="16" fillId="33" borderId="0" xfId="0" applyNumberFormat="1" applyFont="1" applyFill="1"/>
    <xf numFmtId="9" fontId="16" fillId="33" borderId="0" xfId="42" applyFont="1" applyFill="1" applyAlignment="1">
      <alignment horizontal="center"/>
    </xf>
    <xf numFmtId="0" fontId="16" fillId="0" borderId="0" xfId="0" applyFont="1"/>
    <xf numFmtId="0" fontId="0" fillId="33" borderId="0" xfId="0" applyFill="1" applyAlignment="1">
      <alignment horizontal="center"/>
    </xf>
    <xf numFmtId="166" fontId="0" fillId="33" borderId="0" xfId="0" applyNumberFormat="1" applyFill="1" applyAlignment="1">
      <alignment horizontal="center"/>
    </xf>
    <xf numFmtId="164" fontId="0" fillId="33" borderId="0" xfId="0" applyNumberFormat="1" applyFill="1" applyAlignment="1">
      <alignment horizontal="right"/>
    </xf>
    <xf numFmtId="164" fontId="0" fillId="33" borderId="0" xfId="0" applyNumberFormat="1" applyFill="1"/>
    <xf numFmtId="9" fontId="0" fillId="33" borderId="0" xfId="42" applyFont="1" applyFill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9" fontId="0" fillId="0" borderId="0" xfId="42" applyFont="1" applyAlignment="1">
      <alignment horizontal="center"/>
    </xf>
    <xf numFmtId="0" fontId="16" fillId="34" borderId="0" xfId="0" applyFont="1" applyFill="1" applyAlignment="1">
      <alignment horizontal="center"/>
    </xf>
    <xf numFmtId="166" fontId="16" fillId="34" borderId="0" xfId="0" applyNumberFormat="1" applyFont="1" applyFill="1" applyAlignment="1">
      <alignment horizontal="center"/>
    </xf>
    <xf numFmtId="164" fontId="16" fillId="34" borderId="0" xfId="0" applyNumberFormat="1" applyFont="1" applyFill="1" applyAlignment="1">
      <alignment horizontal="right"/>
    </xf>
    <xf numFmtId="164" fontId="16" fillId="34" borderId="0" xfId="0" applyNumberFormat="1" applyFont="1" applyFill="1"/>
    <xf numFmtId="9" fontId="16" fillId="34" borderId="0" xfId="42" applyFont="1" applyFill="1" applyAlignment="1">
      <alignment horizontal="center"/>
    </xf>
    <xf numFmtId="0" fontId="0" fillId="34" borderId="0" xfId="0" applyFill="1" applyAlignment="1">
      <alignment horizontal="center"/>
    </xf>
    <xf numFmtId="166" fontId="0" fillId="34" borderId="0" xfId="0" applyNumberFormat="1" applyFill="1" applyAlignment="1">
      <alignment horizontal="center"/>
    </xf>
    <xf numFmtId="164" fontId="0" fillId="34" borderId="0" xfId="0" applyNumberFormat="1" applyFill="1" applyAlignment="1">
      <alignment horizontal="right"/>
    </xf>
    <xf numFmtId="164" fontId="0" fillId="34" borderId="0" xfId="0" applyNumberFormat="1" applyFill="1"/>
    <xf numFmtId="9" fontId="0" fillId="34" borderId="0" xfId="42" applyFont="1" applyFill="1" applyAlignment="1">
      <alignment horizontal="center"/>
    </xf>
    <xf numFmtId="166" fontId="0" fillId="0" borderId="0" xfId="0" applyNumberFormat="1" applyAlignment="1">
      <alignment horizontal="right" vertical="top" wrapText="1"/>
    </xf>
    <xf numFmtId="164" fontId="0" fillId="0" borderId="0" xfId="0" applyNumberFormat="1" applyAlignment="1">
      <alignment horizontal="right" vertical="top" wrapText="1"/>
    </xf>
    <xf numFmtId="9" fontId="0" fillId="0" borderId="0" xfId="42" applyFont="1" applyAlignment="1">
      <alignment horizontal="right" vertical="top" wrapText="1"/>
    </xf>
    <xf numFmtId="164" fontId="18" fillId="0" borderId="0" xfId="0" applyNumberFormat="1" applyFont="1" applyAlignment="1">
      <alignment horizontal="right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0" fontId="19" fillId="0" borderId="0" xfId="0" applyFont="1" applyAlignment="1">
      <alignment horizontal="center"/>
    </xf>
    <xf numFmtId="165" fontId="19" fillId="0" borderId="0" xfId="0" applyNumberFormat="1" applyFont="1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center"/>
    </xf>
    <xf numFmtId="165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 vertical="top" wrapText="1"/>
    </xf>
    <xf numFmtId="0" fontId="19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0" xfId="0" applyFill="1" applyBorder="1" applyAlignment="1">
      <alignment horizontal="left"/>
    </xf>
    <xf numFmtId="164" fontId="0" fillId="0" borderId="0" xfId="0" applyNumberFormat="1" applyAlignment="1">
      <alignment horizontal="center" vertical="top"/>
    </xf>
    <xf numFmtId="164" fontId="0" fillId="0" borderId="0" xfId="0" applyNumberFormat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9" fontId="0" fillId="0" borderId="0" xfId="42" applyFont="1"/>
    <xf numFmtId="0" fontId="0" fillId="0" borderId="0" xfId="0" pivotButton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ent" refreshedDate="43422.798296527777" createdVersion="6" refreshedVersion="6" minRefreshableVersion="3" recordCount="533" xr:uid="{11DAF5F4-1B6C-4FE9-9AFC-1913DB866033}">
  <cacheSource type="worksheet">
    <worksheetSource ref="A4:L537" sheet="bln_mvnt_long"/>
  </cacheSource>
  <cacheFields count="14">
    <cacheField name="date filter" numFmtId="0">
      <sharedItems containsSemiMixedTypes="0" containsString="0" containsNumber="1" containsInteger="1" minValue="0" maxValue="1" count="2">
        <n v="0"/>
        <n v="1"/>
      </sharedItems>
    </cacheField>
    <cacheField name="m.type.name" numFmtId="0">
      <sharedItems count="19">
        <s v="zf_close"/>
        <s v="zb_re-measure_migr"/>
        <s v="g_tfr.2.3"/>
        <s v="a_open"/>
        <s v="v_repay_rvlv"/>
        <s v="za_re-measure_no_migr"/>
        <s v="ze_write_off"/>
        <s v="zd_other"/>
        <s v="z_repay_term_final"/>
        <s v="y_repay_term"/>
        <s v="v_drawdown_rvlv"/>
        <s v="b_tfr.1.2"/>
        <s v="zc_model_change"/>
        <s v="o_tfr.5.2"/>
        <s v="w_drawdown_term"/>
        <s v="c_tfr.1.3"/>
        <s v="e_tfr.1.5"/>
        <s v="k_tfr.3.2"/>
        <s v="f_tfr.2.1"/>
      </sharedItems>
    </cacheField>
    <cacheField name="date" numFmtId="165">
      <sharedItems containsSemiMixedTypes="0" containsNonDate="0" containsDate="1" containsString="0" minDate="2017-12-01T00:00:00" maxDate="2018-12-02T00:00:00" count="13"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</sharedItems>
      <fieldGroup par="13" base="2">
        <rangePr groupBy="months" startDate="2017-12-01T00:00:00" endDate="2018-12-02T00:00:00"/>
        <groupItems count="14">
          <s v="&lt;01/12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12/2018"/>
        </groupItems>
      </fieldGroup>
    </cacheField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month" numFmtId="0">
      <sharedItems containsSemiMixedTypes="0" containsString="0" containsNumber="1" containsInteger="1" minValue="1" maxValue="12" count="12">
        <n v="12"/>
        <n v="1"/>
        <n v="2"/>
        <n v="3"/>
        <n v="4"/>
        <n v="5"/>
        <n v="6"/>
        <n v="7"/>
        <n v="8"/>
        <n v="9"/>
        <n v="10"/>
        <n v="11"/>
      </sharedItems>
    </cacheField>
    <cacheField name="cust" numFmtId="0">
      <sharedItems count="21">
        <s v="4000001_5000"/>
        <s v="4000002_5000"/>
        <s v="4000003_5000"/>
        <s v="4000004_5000"/>
        <s v="4000005_5000"/>
        <s v="4000006_5000"/>
        <s v="4000007_5000"/>
        <s v="4000008_5000"/>
        <s v="4000009_5000"/>
        <s v="4000010_5000"/>
        <s v="4000011_5000"/>
        <s v="4000012_5000"/>
        <s v="4000021_5000"/>
        <s v="4000022_5000"/>
        <s v="4000023_5000"/>
        <s v="4000024_5000"/>
        <s v="4000025_5000"/>
        <s v="4000026_5000"/>
        <s v="4000027_5000"/>
        <s v="4000028_5000"/>
        <s v="4000029_1000"/>
      </sharedItems>
    </cacheField>
    <cacheField name="ctgy.op" numFmtId="0">
      <sharedItems containsMixedTypes="1" containsNumber="1" containsInteger="1" minValue="1" maxValue="5"/>
    </cacheField>
    <cacheField name="ctgy.cl" numFmtId="0">
      <sharedItems containsSemiMixedTypes="0" containsString="0" containsNumber="1" containsInteger="1" minValue="1" maxValue="5"/>
    </cacheField>
    <cacheField name="ctgy" numFmtId="0">
      <sharedItems containsSemiMixedTypes="0" containsString="0" containsNumber="1" containsInteger="1" minValue="1" maxValue="5" count="4">
        <n v="2"/>
        <n v="3"/>
        <n v="1"/>
        <n v="5"/>
      </sharedItems>
    </cacheField>
    <cacheField name="bal.type" numFmtId="0">
      <sharedItems count="2">
        <s v="ecl"/>
        <s v="gca"/>
      </sharedItems>
    </cacheField>
    <cacheField name="m.type" numFmtId="0">
      <sharedItems/>
    </cacheField>
    <cacheField name="tran_ccy" numFmtId="0">
      <sharedItems containsSemiMixedTypes="0" containsString="0" containsNumber="1" minValue="-7550" maxValue="7550"/>
    </cacheField>
    <cacheField name="Quarters" numFmtId="0" databaseField="0">
      <fieldGroup base="2">
        <rangePr groupBy="quarters" startDate="2017-12-01T00:00:00" endDate="2018-12-02T00:00:00"/>
        <groupItems count="6">
          <s v="&lt;01/12/2017"/>
          <s v="Qtr1"/>
          <s v="Qtr2"/>
          <s v="Qtr3"/>
          <s v="Qtr4"/>
          <s v="&gt;02/12/2018"/>
        </groupItems>
      </fieldGroup>
    </cacheField>
    <cacheField name="Years" numFmtId="0" databaseField="0">
      <fieldGroup base="2">
        <rangePr groupBy="years" startDate="2017-12-01T00:00:00" endDate="2018-12-02T00:00:00"/>
        <groupItems count="4">
          <s v="&lt;01/12/2017"/>
          <s v="2017"/>
          <s v="2018"/>
          <s v="&gt;02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">
  <r>
    <x v="0"/>
    <x v="0"/>
    <x v="0"/>
    <x v="0"/>
    <x v="0"/>
    <x v="0"/>
    <s v="NA"/>
    <n v="2"/>
    <x v="0"/>
    <x v="0"/>
    <s v="cl"/>
    <n v="-1500"/>
  </r>
  <r>
    <x v="0"/>
    <x v="0"/>
    <x v="0"/>
    <x v="0"/>
    <x v="0"/>
    <x v="0"/>
    <s v="NA"/>
    <n v="2"/>
    <x v="0"/>
    <x v="1"/>
    <s v="cl"/>
    <n v="7500"/>
  </r>
  <r>
    <x v="1"/>
    <x v="0"/>
    <x v="1"/>
    <x v="1"/>
    <x v="1"/>
    <x v="0"/>
    <n v="2"/>
    <n v="3"/>
    <x v="1"/>
    <x v="0"/>
    <s v="cl"/>
    <n v="-3000"/>
  </r>
  <r>
    <x v="1"/>
    <x v="1"/>
    <x v="1"/>
    <x v="1"/>
    <x v="1"/>
    <x v="0"/>
    <n v="2"/>
    <n v="3"/>
    <x v="1"/>
    <x v="0"/>
    <s v="m.rem.mig"/>
    <n v="-1500"/>
  </r>
  <r>
    <x v="1"/>
    <x v="2"/>
    <x v="1"/>
    <x v="1"/>
    <x v="1"/>
    <x v="0"/>
    <n v="2"/>
    <n v="3"/>
    <x v="1"/>
    <x v="0"/>
    <s v="tfr.2.3"/>
    <n v="-1500"/>
  </r>
  <r>
    <x v="1"/>
    <x v="2"/>
    <x v="1"/>
    <x v="1"/>
    <x v="1"/>
    <x v="0"/>
    <n v="2"/>
    <n v="3"/>
    <x v="0"/>
    <x v="0"/>
    <s v="tfr.2.3"/>
    <n v="1500"/>
  </r>
  <r>
    <x v="1"/>
    <x v="3"/>
    <x v="1"/>
    <x v="1"/>
    <x v="1"/>
    <x v="0"/>
    <n v="2"/>
    <n v="3"/>
    <x v="0"/>
    <x v="0"/>
    <s v="op"/>
    <n v="-1500"/>
  </r>
  <r>
    <x v="1"/>
    <x v="0"/>
    <x v="1"/>
    <x v="1"/>
    <x v="1"/>
    <x v="0"/>
    <n v="2"/>
    <n v="3"/>
    <x v="1"/>
    <x v="1"/>
    <s v="cl"/>
    <n v="7500"/>
  </r>
  <r>
    <x v="1"/>
    <x v="2"/>
    <x v="1"/>
    <x v="1"/>
    <x v="1"/>
    <x v="0"/>
    <n v="2"/>
    <n v="3"/>
    <x v="1"/>
    <x v="1"/>
    <s v="tfr.2.3"/>
    <n v="7500"/>
  </r>
  <r>
    <x v="1"/>
    <x v="2"/>
    <x v="1"/>
    <x v="1"/>
    <x v="1"/>
    <x v="0"/>
    <n v="2"/>
    <n v="3"/>
    <x v="0"/>
    <x v="1"/>
    <s v="tfr.2.3"/>
    <n v="-7500"/>
  </r>
  <r>
    <x v="1"/>
    <x v="3"/>
    <x v="1"/>
    <x v="1"/>
    <x v="1"/>
    <x v="0"/>
    <n v="2"/>
    <n v="3"/>
    <x v="0"/>
    <x v="1"/>
    <s v="op"/>
    <n v="7500"/>
  </r>
  <r>
    <x v="1"/>
    <x v="4"/>
    <x v="2"/>
    <x v="1"/>
    <x v="2"/>
    <x v="0"/>
    <n v="3"/>
    <n v="3"/>
    <x v="1"/>
    <x v="0"/>
    <s v="m.rd.r"/>
    <n v="1400"/>
  </r>
  <r>
    <x v="1"/>
    <x v="5"/>
    <x v="2"/>
    <x v="1"/>
    <x v="2"/>
    <x v="0"/>
    <n v="3"/>
    <n v="3"/>
    <x v="1"/>
    <x v="0"/>
    <s v="m.rem"/>
    <n v="-2400"/>
  </r>
  <r>
    <x v="1"/>
    <x v="6"/>
    <x v="2"/>
    <x v="1"/>
    <x v="2"/>
    <x v="0"/>
    <n v="3"/>
    <n v="3"/>
    <x v="1"/>
    <x v="0"/>
    <s v="m.wof"/>
    <n v="4000"/>
  </r>
  <r>
    <x v="1"/>
    <x v="3"/>
    <x v="2"/>
    <x v="1"/>
    <x v="2"/>
    <x v="0"/>
    <n v="3"/>
    <n v="3"/>
    <x v="1"/>
    <x v="0"/>
    <s v="op"/>
    <n v="-3000"/>
  </r>
  <r>
    <x v="1"/>
    <x v="4"/>
    <x v="2"/>
    <x v="1"/>
    <x v="2"/>
    <x v="0"/>
    <n v="3"/>
    <n v="3"/>
    <x v="1"/>
    <x v="1"/>
    <s v="m.rd.r"/>
    <n v="-3500"/>
  </r>
  <r>
    <x v="1"/>
    <x v="6"/>
    <x v="2"/>
    <x v="1"/>
    <x v="2"/>
    <x v="0"/>
    <n v="3"/>
    <n v="3"/>
    <x v="1"/>
    <x v="1"/>
    <s v="m.wof"/>
    <n v="-4000"/>
  </r>
  <r>
    <x v="1"/>
    <x v="3"/>
    <x v="2"/>
    <x v="1"/>
    <x v="2"/>
    <x v="0"/>
    <n v="3"/>
    <n v="3"/>
    <x v="1"/>
    <x v="1"/>
    <s v="op"/>
    <n v="7500"/>
  </r>
  <r>
    <x v="0"/>
    <x v="0"/>
    <x v="0"/>
    <x v="0"/>
    <x v="0"/>
    <x v="1"/>
    <s v="NA"/>
    <n v="2"/>
    <x v="0"/>
    <x v="0"/>
    <s v="cl"/>
    <n v="-1500"/>
  </r>
  <r>
    <x v="0"/>
    <x v="0"/>
    <x v="0"/>
    <x v="0"/>
    <x v="0"/>
    <x v="1"/>
    <s v="NA"/>
    <n v="2"/>
    <x v="0"/>
    <x v="1"/>
    <s v="cl"/>
    <n v="7550"/>
  </r>
  <r>
    <x v="1"/>
    <x v="0"/>
    <x v="1"/>
    <x v="1"/>
    <x v="1"/>
    <x v="1"/>
    <n v="2"/>
    <n v="3"/>
    <x v="1"/>
    <x v="0"/>
    <s v="cl"/>
    <n v="-3000"/>
  </r>
  <r>
    <x v="1"/>
    <x v="1"/>
    <x v="1"/>
    <x v="1"/>
    <x v="1"/>
    <x v="1"/>
    <n v="2"/>
    <n v="3"/>
    <x v="1"/>
    <x v="0"/>
    <s v="m.rem.mig"/>
    <n v="-1500"/>
  </r>
  <r>
    <x v="1"/>
    <x v="2"/>
    <x v="1"/>
    <x v="1"/>
    <x v="1"/>
    <x v="1"/>
    <n v="2"/>
    <n v="3"/>
    <x v="1"/>
    <x v="0"/>
    <s v="tfr.2.3"/>
    <n v="-1500"/>
  </r>
  <r>
    <x v="1"/>
    <x v="2"/>
    <x v="1"/>
    <x v="1"/>
    <x v="1"/>
    <x v="1"/>
    <n v="2"/>
    <n v="3"/>
    <x v="0"/>
    <x v="0"/>
    <s v="tfr.2.3"/>
    <n v="1500"/>
  </r>
  <r>
    <x v="1"/>
    <x v="3"/>
    <x v="1"/>
    <x v="1"/>
    <x v="1"/>
    <x v="1"/>
    <n v="2"/>
    <n v="3"/>
    <x v="0"/>
    <x v="0"/>
    <s v="op"/>
    <n v="-1500"/>
  </r>
  <r>
    <x v="1"/>
    <x v="0"/>
    <x v="1"/>
    <x v="1"/>
    <x v="1"/>
    <x v="1"/>
    <n v="2"/>
    <n v="3"/>
    <x v="1"/>
    <x v="1"/>
    <s v="cl"/>
    <n v="7540"/>
  </r>
  <r>
    <x v="1"/>
    <x v="7"/>
    <x v="1"/>
    <x v="1"/>
    <x v="1"/>
    <x v="1"/>
    <n v="2"/>
    <n v="3"/>
    <x v="1"/>
    <x v="1"/>
    <s v="m.oth"/>
    <n v="-10"/>
  </r>
  <r>
    <x v="1"/>
    <x v="2"/>
    <x v="1"/>
    <x v="1"/>
    <x v="1"/>
    <x v="1"/>
    <n v="2"/>
    <n v="3"/>
    <x v="1"/>
    <x v="1"/>
    <s v="tfr.2.3"/>
    <n v="7550"/>
  </r>
  <r>
    <x v="1"/>
    <x v="2"/>
    <x v="1"/>
    <x v="1"/>
    <x v="1"/>
    <x v="1"/>
    <n v="2"/>
    <n v="3"/>
    <x v="0"/>
    <x v="1"/>
    <s v="tfr.2.3"/>
    <n v="-7550"/>
  </r>
  <r>
    <x v="1"/>
    <x v="3"/>
    <x v="1"/>
    <x v="1"/>
    <x v="1"/>
    <x v="1"/>
    <n v="2"/>
    <n v="3"/>
    <x v="0"/>
    <x v="1"/>
    <s v="op"/>
    <n v="7550"/>
  </r>
  <r>
    <x v="1"/>
    <x v="8"/>
    <x v="2"/>
    <x v="1"/>
    <x v="2"/>
    <x v="1"/>
    <n v="3"/>
    <n v="3"/>
    <x v="1"/>
    <x v="0"/>
    <s v="m.rd.t.f"/>
    <n v="1400"/>
  </r>
  <r>
    <x v="1"/>
    <x v="5"/>
    <x v="2"/>
    <x v="1"/>
    <x v="2"/>
    <x v="1"/>
    <n v="3"/>
    <n v="3"/>
    <x v="1"/>
    <x v="0"/>
    <s v="m.rem"/>
    <n v="-2400"/>
  </r>
  <r>
    <x v="1"/>
    <x v="6"/>
    <x v="2"/>
    <x v="1"/>
    <x v="2"/>
    <x v="1"/>
    <n v="3"/>
    <n v="3"/>
    <x v="1"/>
    <x v="0"/>
    <s v="m.wof"/>
    <n v="4000"/>
  </r>
  <r>
    <x v="1"/>
    <x v="3"/>
    <x v="2"/>
    <x v="1"/>
    <x v="2"/>
    <x v="1"/>
    <n v="3"/>
    <n v="3"/>
    <x v="1"/>
    <x v="0"/>
    <s v="op"/>
    <n v="-3000"/>
  </r>
  <r>
    <x v="1"/>
    <x v="0"/>
    <x v="2"/>
    <x v="1"/>
    <x v="2"/>
    <x v="1"/>
    <n v="3"/>
    <n v="3"/>
    <x v="1"/>
    <x v="1"/>
    <s v="cl"/>
    <n v="30"/>
  </r>
  <r>
    <x v="1"/>
    <x v="7"/>
    <x v="2"/>
    <x v="1"/>
    <x v="2"/>
    <x v="1"/>
    <n v="3"/>
    <n v="3"/>
    <x v="1"/>
    <x v="1"/>
    <s v="m.oth"/>
    <n v="-10"/>
  </r>
  <r>
    <x v="1"/>
    <x v="8"/>
    <x v="2"/>
    <x v="1"/>
    <x v="2"/>
    <x v="1"/>
    <n v="3"/>
    <n v="3"/>
    <x v="1"/>
    <x v="1"/>
    <s v="m.rd.t.f"/>
    <n v="-3500"/>
  </r>
  <r>
    <x v="1"/>
    <x v="6"/>
    <x v="2"/>
    <x v="1"/>
    <x v="2"/>
    <x v="1"/>
    <n v="3"/>
    <n v="3"/>
    <x v="1"/>
    <x v="1"/>
    <s v="m.wof"/>
    <n v="-4000"/>
  </r>
  <r>
    <x v="1"/>
    <x v="3"/>
    <x v="2"/>
    <x v="1"/>
    <x v="2"/>
    <x v="1"/>
    <n v="3"/>
    <n v="3"/>
    <x v="1"/>
    <x v="1"/>
    <s v="op"/>
    <n v="7540"/>
  </r>
  <r>
    <x v="1"/>
    <x v="7"/>
    <x v="3"/>
    <x v="1"/>
    <x v="3"/>
    <x v="1"/>
    <n v="3"/>
    <n v="3"/>
    <x v="1"/>
    <x v="1"/>
    <s v="m.oth"/>
    <n v="-30"/>
  </r>
  <r>
    <x v="1"/>
    <x v="3"/>
    <x v="3"/>
    <x v="1"/>
    <x v="3"/>
    <x v="1"/>
    <n v="3"/>
    <n v="3"/>
    <x v="1"/>
    <x v="1"/>
    <s v="op"/>
    <n v="30"/>
  </r>
  <r>
    <x v="0"/>
    <x v="0"/>
    <x v="0"/>
    <x v="0"/>
    <x v="0"/>
    <x v="2"/>
    <s v="NA"/>
    <n v="2"/>
    <x v="0"/>
    <x v="0"/>
    <s v="cl"/>
    <n v="-1500"/>
  </r>
  <r>
    <x v="0"/>
    <x v="0"/>
    <x v="0"/>
    <x v="0"/>
    <x v="0"/>
    <x v="2"/>
    <s v="NA"/>
    <n v="2"/>
    <x v="0"/>
    <x v="1"/>
    <s v="cl"/>
    <n v="7550"/>
  </r>
  <r>
    <x v="1"/>
    <x v="0"/>
    <x v="1"/>
    <x v="1"/>
    <x v="1"/>
    <x v="2"/>
    <n v="2"/>
    <n v="3"/>
    <x v="1"/>
    <x v="0"/>
    <s v="cl"/>
    <n v="-3000"/>
  </r>
  <r>
    <x v="1"/>
    <x v="1"/>
    <x v="1"/>
    <x v="1"/>
    <x v="1"/>
    <x v="2"/>
    <n v="2"/>
    <n v="3"/>
    <x v="1"/>
    <x v="0"/>
    <s v="m.rem.mig"/>
    <n v="-1500"/>
  </r>
  <r>
    <x v="1"/>
    <x v="2"/>
    <x v="1"/>
    <x v="1"/>
    <x v="1"/>
    <x v="2"/>
    <n v="2"/>
    <n v="3"/>
    <x v="1"/>
    <x v="0"/>
    <s v="tfr.2.3"/>
    <n v="-1500"/>
  </r>
  <r>
    <x v="1"/>
    <x v="2"/>
    <x v="1"/>
    <x v="1"/>
    <x v="1"/>
    <x v="2"/>
    <n v="2"/>
    <n v="3"/>
    <x v="0"/>
    <x v="0"/>
    <s v="tfr.2.3"/>
    <n v="1500"/>
  </r>
  <r>
    <x v="1"/>
    <x v="3"/>
    <x v="1"/>
    <x v="1"/>
    <x v="1"/>
    <x v="2"/>
    <n v="2"/>
    <n v="3"/>
    <x v="0"/>
    <x v="0"/>
    <s v="op"/>
    <n v="-1500"/>
  </r>
  <r>
    <x v="1"/>
    <x v="0"/>
    <x v="1"/>
    <x v="1"/>
    <x v="1"/>
    <x v="2"/>
    <n v="2"/>
    <n v="3"/>
    <x v="1"/>
    <x v="1"/>
    <s v="cl"/>
    <n v="7540"/>
  </r>
  <r>
    <x v="1"/>
    <x v="7"/>
    <x v="1"/>
    <x v="1"/>
    <x v="1"/>
    <x v="2"/>
    <n v="2"/>
    <n v="3"/>
    <x v="1"/>
    <x v="1"/>
    <s v="m.oth"/>
    <n v="-10"/>
  </r>
  <r>
    <x v="1"/>
    <x v="2"/>
    <x v="1"/>
    <x v="1"/>
    <x v="1"/>
    <x v="2"/>
    <n v="2"/>
    <n v="3"/>
    <x v="1"/>
    <x v="1"/>
    <s v="tfr.2.3"/>
    <n v="7550"/>
  </r>
  <r>
    <x v="1"/>
    <x v="2"/>
    <x v="1"/>
    <x v="1"/>
    <x v="1"/>
    <x v="2"/>
    <n v="2"/>
    <n v="3"/>
    <x v="0"/>
    <x v="1"/>
    <s v="tfr.2.3"/>
    <n v="-7550"/>
  </r>
  <r>
    <x v="1"/>
    <x v="3"/>
    <x v="1"/>
    <x v="1"/>
    <x v="1"/>
    <x v="2"/>
    <n v="2"/>
    <n v="3"/>
    <x v="0"/>
    <x v="1"/>
    <s v="op"/>
    <n v="7550"/>
  </r>
  <r>
    <x v="1"/>
    <x v="8"/>
    <x v="2"/>
    <x v="1"/>
    <x v="2"/>
    <x v="2"/>
    <n v="3"/>
    <n v="3"/>
    <x v="1"/>
    <x v="0"/>
    <s v="m.rd.t.f"/>
    <n v="2200"/>
  </r>
  <r>
    <x v="1"/>
    <x v="5"/>
    <x v="2"/>
    <x v="1"/>
    <x v="2"/>
    <x v="2"/>
    <n v="3"/>
    <n v="3"/>
    <x v="1"/>
    <x v="0"/>
    <s v="m.rem"/>
    <n v="-1200"/>
  </r>
  <r>
    <x v="1"/>
    <x v="6"/>
    <x v="2"/>
    <x v="1"/>
    <x v="2"/>
    <x v="2"/>
    <n v="3"/>
    <n v="3"/>
    <x v="1"/>
    <x v="0"/>
    <s v="m.wof"/>
    <n v="2000"/>
  </r>
  <r>
    <x v="1"/>
    <x v="3"/>
    <x v="2"/>
    <x v="1"/>
    <x v="2"/>
    <x v="2"/>
    <n v="3"/>
    <n v="3"/>
    <x v="1"/>
    <x v="0"/>
    <s v="op"/>
    <n v="-3000"/>
  </r>
  <r>
    <x v="1"/>
    <x v="0"/>
    <x v="2"/>
    <x v="1"/>
    <x v="2"/>
    <x v="2"/>
    <n v="3"/>
    <n v="3"/>
    <x v="1"/>
    <x v="1"/>
    <s v="cl"/>
    <n v="30"/>
  </r>
  <r>
    <x v="1"/>
    <x v="7"/>
    <x v="2"/>
    <x v="1"/>
    <x v="2"/>
    <x v="2"/>
    <n v="3"/>
    <n v="3"/>
    <x v="1"/>
    <x v="1"/>
    <s v="m.oth"/>
    <n v="-10"/>
  </r>
  <r>
    <x v="1"/>
    <x v="8"/>
    <x v="2"/>
    <x v="1"/>
    <x v="2"/>
    <x v="2"/>
    <n v="3"/>
    <n v="3"/>
    <x v="1"/>
    <x v="1"/>
    <s v="m.rd.t.f"/>
    <n v="-5500"/>
  </r>
  <r>
    <x v="1"/>
    <x v="6"/>
    <x v="2"/>
    <x v="1"/>
    <x v="2"/>
    <x v="2"/>
    <n v="3"/>
    <n v="3"/>
    <x v="1"/>
    <x v="1"/>
    <s v="m.wof"/>
    <n v="-2000"/>
  </r>
  <r>
    <x v="1"/>
    <x v="3"/>
    <x v="2"/>
    <x v="1"/>
    <x v="2"/>
    <x v="2"/>
    <n v="3"/>
    <n v="3"/>
    <x v="1"/>
    <x v="1"/>
    <s v="op"/>
    <n v="7540"/>
  </r>
  <r>
    <x v="1"/>
    <x v="7"/>
    <x v="3"/>
    <x v="1"/>
    <x v="3"/>
    <x v="2"/>
    <n v="3"/>
    <n v="3"/>
    <x v="1"/>
    <x v="1"/>
    <s v="m.oth"/>
    <n v="-30"/>
  </r>
  <r>
    <x v="1"/>
    <x v="3"/>
    <x v="3"/>
    <x v="1"/>
    <x v="3"/>
    <x v="2"/>
    <n v="3"/>
    <n v="3"/>
    <x v="1"/>
    <x v="1"/>
    <s v="op"/>
    <n v="30"/>
  </r>
  <r>
    <x v="0"/>
    <x v="0"/>
    <x v="0"/>
    <x v="0"/>
    <x v="0"/>
    <x v="3"/>
    <s v="NA"/>
    <n v="2"/>
    <x v="0"/>
    <x v="0"/>
    <s v="cl"/>
    <n v="-1500"/>
  </r>
  <r>
    <x v="0"/>
    <x v="0"/>
    <x v="0"/>
    <x v="0"/>
    <x v="0"/>
    <x v="3"/>
    <s v="NA"/>
    <n v="2"/>
    <x v="0"/>
    <x v="1"/>
    <s v="cl"/>
    <n v="7550"/>
  </r>
  <r>
    <x v="1"/>
    <x v="0"/>
    <x v="1"/>
    <x v="1"/>
    <x v="1"/>
    <x v="3"/>
    <n v="2"/>
    <n v="3"/>
    <x v="1"/>
    <x v="0"/>
    <s v="cl"/>
    <n v="-1800"/>
  </r>
  <r>
    <x v="1"/>
    <x v="1"/>
    <x v="1"/>
    <x v="1"/>
    <x v="1"/>
    <x v="3"/>
    <n v="2"/>
    <n v="3"/>
    <x v="1"/>
    <x v="0"/>
    <s v="m.rem.mig"/>
    <n v="-300"/>
  </r>
  <r>
    <x v="1"/>
    <x v="2"/>
    <x v="1"/>
    <x v="1"/>
    <x v="1"/>
    <x v="3"/>
    <n v="2"/>
    <n v="3"/>
    <x v="1"/>
    <x v="0"/>
    <s v="tfr.2.3"/>
    <n v="-1500"/>
  </r>
  <r>
    <x v="1"/>
    <x v="2"/>
    <x v="1"/>
    <x v="1"/>
    <x v="1"/>
    <x v="3"/>
    <n v="2"/>
    <n v="3"/>
    <x v="0"/>
    <x v="0"/>
    <s v="tfr.2.3"/>
    <n v="1500"/>
  </r>
  <r>
    <x v="1"/>
    <x v="3"/>
    <x v="1"/>
    <x v="1"/>
    <x v="1"/>
    <x v="3"/>
    <n v="2"/>
    <n v="3"/>
    <x v="0"/>
    <x v="0"/>
    <s v="op"/>
    <n v="-1500"/>
  </r>
  <r>
    <x v="1"/>
    <x v="0"/>
    <x v="1"/>
    <x v="1"/>
    <x v="1"/>
    <x v="3"/>
    <n v="2"/>
    <n v="3"/>
    <x v="1"/>
    <x v="1"/>
    <s v="cl"/>
    <n v="7540"/>
  </r>
  <r>
    <x v="1"/>
    <x v="7"/>
    <x v="1"/>
    <x v="1"/>
    <x v="1"/>
    <x v="3"/>
    <n v="2"/>
    <n v="3"/>
    <x v="1"/>
    <x v="1"/>
    <s v="m.oth"/>
    <n v="-10"/>
  </r>
  <r>
    <x v="1"/>
    <x v="2"/>
    <x v="1"/>
    <x v="1"/>
    <x v="1"/>
    <x v="3"/>
    <n v="2"/>
    <n v="3"/>
    <x v="1"/>
    <x v="1"/>
    <s v="tfr.2.3"/>
    <n v="7550"/>
  </r>
  <r>
    <x v="1"/>
    <x v="2"/>
    <x v="1"/>
    <x v="1"/>
    <x v="1"/>
    <x v="3"/>
    <n v="2"/>
    <n v="3"/>
    <x v="0"/>
    <x v="1"/>
    <s v="tfr.2.3"/>
    <n v="-7550"/>
  </r>
  <r>
    <x v="1"/>
    <x v="3"/>
    <x v="1"/>
    <x v="1"/>
    <x v="1"/>
    <x v="3"/>
    <n v="2"/>
    <n v="3"/>
    <x v="0"/>
    <x v="1"/>
    <s v="op"/>
    <n v="7550"/>
  </r>
  <r>
    <x v="1"/>
    <x v="0"/>
    <x v="2"/>
    <x v="1"/>
    <x v="2"/>
    <x v="3"/>
    <n v="3"/>
    <n v="3"/>
    <x v="1"/>
    <x v="0"/>
    <s v="cl"/>
    <n v="-480"/>
  </r>
  <r>
    <x v="1"/>
    <x v="9"/>
    <x v="2"/>
    <x v="1"/>
    <x v="2"/>
    <x v="3"/>
    <n v="3"/>
    <n v="3"/>
    <x v="1"/>
    <x v="0"/>
    <s v="m.rd.t"/>
    <n v="840"/>
  </r>
  <r>
    <x v="1"/>
    <x v="5"/>
    <x v="2"/>
    <x v="1"/>
    <x v="2"/>
    <x v="3"/>
    <n v="3"/>
    <n v="3"/>
    <x v="1"/>
    <x v="0"/>
    <s v="m.rem"/>
    <n v="-1520"/>
  </r>
  <r>
    <x v="1"/>
    <x v="6"/>
    <x v="2"/>
    <x v="1"/>
    <x v="2"/>
    <x v="3"/>
    <n v="3"/>
    <n v="3"/>
    <x v="1"/>
    <x v="0"/>
    <s v="m.wof"/>
    <n v="2000"/>
  </r>
  <r>
    <x v="1"/>
    <x v="3"/>
    <x v="2"/>
    <x v="1"/>
    <x v="2"/>
    <x v="3"/>
    <n v="3"/>
    <n v="3"/>
    <x v="1"/>
    <x v="0"/>
    <s v="op"/>
    <n v="-1800"/>
  </r>
  <r>
    <x v="1"/>
    <x v="0"/>
    <x v="2"/>
    <x v="1"/>
    <x v="2"/>
    <x v="3"/>
    <n v="3"/>
    <n v="3"/>
    <x v="1"/>
    <x v="1"/>
    <s v="cl"/>
    <n v="2030"/>
  </r>
  <r>
    <x v="1"/>
    <x v="7"/>
    <x v="2"/>
    <x v="1"/>
    <x v="2"/>
    <x v="3"/>
    <n v="3"/>
    <n v="3"/>
    <x v="1"/>
    <x v="1"/>
    <s v="m.oth"/>
    <n v="-10"/>
  </r>
  <r>
    <x v="1"/>
    <x v="9"/>
    <x v="2"/>
    <x v="1"/>
    <x v="2"/>
    <x v="3"/>
    <n v="3"/>
    <n v="3"/>
    <x v="1"/>
    <x v="1"/>
    <s v="m.rd.t"/>
    <n v="-3500"/>
  </r>
  <r>
    <x v="1"/>
    <x v="6"/>
    <x v="2"/>
    <x v="1"/>
    <x v="2"/>
    <x v="3"/>
    <n v="3"/>
    <n v="3"/>
    <x v="1"/>
    <x v="1"/>
    <s v="m.wof"/>
    <n v="-2000"/>
  </r>
  <r>
    <x v="1"/>
    <x v="3"/>
    <x v="2"/>
    <x v="1"/>
    <x v="2"/>
    <x v="3"/>
    <n v="3"/>
    <n v="3"/>
    <x v="1"/>
    <x v="1"/>
    <s v="op"/>
    <n v="7540"/>
  </r>
  <r>
    <x v="1"/>
    <x v="8"/>
    <x v="3"/>
    <x v="1"/>
    <x v="3"/>
    <x v="3"/>
    <n v="3"/>
    <n v="3"/>
    <x v="1"/>
    <x v="0"/>
    <s v="m.rd.t.f"/>
    <n v="480"/>
  </r>
  <r>
    <x v="1"/>
    <x v="3"/>
    <x v="3"/>
    <x v="1"/>
    <x v="3"/>
    <x v="3"/>
    <n v="3"/>
    <n v="3"/>
    <x v="1"/>
    <x v="0"/>
    <s v="op"/>
    <n v="-480"/>
  </r>
  <r>
    <x v="1"/>
    <x v="7"/>
    <x v="3"/>
    <x v="1"/>
    <x v="3"/>
    <x v="3"/>
    <n v="3"/>
    <n v="3"/>
    <x v="1"/>
    <x v="1"/>
    <s v="m.oth"/>
    <n v="-30"/>
  </r>
  <r>
    <x v="1"/>
    <x v="8"/>
    <x v="3"/>
    <x v="1"/>
    <x v="3"/>
    <x v="3"/>
    <n v="3"/>
    <n v="3"/>
    <x v="1"/>
    <x v="1"/>
    <s v="m.rd.t.f"/>
    <n v="-2000"/>
  </r>
  <r>
    <x v="1"/>
    <x v="3"/>
    <x v="3"/>
    <x v="1"/>
    <x v="3"/>
    <x v="3"/>
    <n v="3"/>
    <n v="3"/>
    <x v="1"/>
    <x v="1"/>
    <s v="op"/>
    <n v="2030"/>
  </r>
  <r>
    <x v="0"/>
    <x v="0"/>
    <x v="0"/>
    <x v="0"/>
    <x v="0"/>
    <x v="4"/>
    <s v="NA"/>
    <n v="1"/>
    <x v="2"/>
    <x v="0"/>
    <s v="cl"/>
    <n v="-9.5"/>
  </r>
  <r>
    <x v="0"/>
    <x v="0"/>
    <x v="0"/>
    <x v="0"/>
    <x v="0"/>
    <x v="4"/>
    <s v="NA"/>
    <n v="1"/>
    <x v="2"/>
    <x v="1"/>
    <s v="cl"/>
    <n v="950"/>
  </r>
  <r>
    <x v="1"/>
    <x v="0"/>
    <x v="1"/>
    <x v="1"/>
    <x v="1"/>
    <x v="4"/>
    <n v="1"/>
    <n v="1"/>
    <x v="2"/>
    <x v="0"/>
    <s v="cl"/>
    <n v="-9.5"/>
  </r>
  <r>
    <x v="1"/>
    <x v="3"/>
    <x v="1"/>
    <x v="1"/>
    <x v="1"/>
    <x v="4"/>
    <n v="1"/>
    <n v="1"/>
    <x v="2"/>
    <x v="0"/>
    <s v="op"/>
    <n v="-9.5"/>
  </r>
  <r>
    <x v="1"/>
    <x v="0"/>
    <x v="1"/>
    <x v="1"/>
    <x v="1"/>
    <x v="4"/>
    <n v="1"/>
    <n v="1"/>
    <x v="2"/>
    <x v="1"/>
    <s v="cl"/>
    <n v="975"/>
  </r>
  <r>
    <x v="1"/>
    <x v="7"/>
    <x v="1"/>
    <x v="1"/>
    <x v="1"/>
    <x v="4"/>
    <n v="1"/>
    <n v="1"/>
    <x v="2"/>
    <x v="1"/>
    <s v="m.oth"/>
    <n v="25"/>
  </r>
  <r>
    <x v="1"/>
    <x v="3"/>
    <x v="1"/>
    <x v="1"/>
    <x v="1"/>
    <x v="4"/>
    <n v="1"/>
    <n v="1"/>
    <x v="2"/>
    <x v="1"/>
    <s v="op"/>
    <n v="950"/>
  </r>
  <r>
    <x v="1"/>
    <x v="8"/>
    <x v="2"/>
    <x v="1"/>
    <x v="2"/>
    <x v="4"/>
    <n v="1"/>
    <n v="1"/>
    <x v="2"/>
    <x v="0"/>
    <s v="m.rd.t.f"/>
    <n v="10"/>
  </r>
  <r>
    <x v="1"/>
    <x v="5"/>
    <x v="2"/>
    <x v="1"/>
    <x v="2"/>
    <x v="4"/>
    <n v="1"/>
    <n v="1"/>
    <x v="2"/>
    <x v="0"/>
    <s v="m.rem"/>
    <n v="-0.5"/>
  </r>
  <r>
    <x v="1"/>
    <x v="3"/>
    <x v="2"/>
    <x v="1"/>
    <x v="2"/>
    <x v="4"/>
    <n v="1"/>
    <n v="1"/>
    <x v="2"/>
    <x v="0"/>
    <s v="op"/>
    <n v="-9.5"/>
  </r>
  <r>
    <x v="1"/>
    <x v="7"/>
    <x v="2"/>
    <x v="1"/>
    <x v="2"/>
    <x v="4"/>
    <n v="1"/>
    <n v="1"/>
    <x v="2"/>
    <x v="1"/>
    <s v="m.oth"/>
    <n v="25"/>
  </r>
  <r>
    <x v="1"/>
    <x v="8"/>
    <x v="2"/>
    <x v="1"/>
    <x v="2"/>
    <x v="4"/>
    <n v="1"/>
    <n v="1"/>
    <x v="2"/>
    <x v="1"/>
    <s v="m.rd.t.f"/>
    <n v="-1000"/>
  </r>
  <r>
    <x v="1"/>
    <x v="3"/>
    <x v="2"/>
    <x v="1"/>
    <x v="2"/>
    <x v="4"/>
    <n v="1"/>
    <n v="1"/>
    <x v="2"/>
    <x v="1"/>
    <s v="op"/>
    <n v="975"/>
  </r>
  <r>
    <x v="1"/>
    <x v="0"/>
    <x v="1"/>
    <x v="1"/>
    <x v="1"/>
    <x v="5"/>
    <n v="1"/>
    <n v="1"/>
    <x v="2"/>
    <x v="0"/>
    <s v="cl"/>
    <n v="-2"/>
  </r>
  <r>
    <x v="1"/>
    <x v="10"/>
    <x v="1"/>
    <x v="1"/>
    <x v="1"/>
    <x v="5"/>
    <n v="1"/>
    <n v="1"/>
    <x v="2"/>
    <x v="0"/>
    <s v="m.dd.r"/>
    <n v="-2.2000000000000002"/>
  </r>
  <r>
    <x v="1"/>
    <x v="5"/>
    <x v="1"/>
    <x v="1"/>
    <x v="1"/>
    <x v="5"/>
    <n v="1"/>
    <n v="1"/>
    <x v="2"/>
    <x v="0"/>
    <s v="m.rem"/>
    <n v="0.2"/>
  </r>
  <r>
    <x v="1"/>
    <x v="0"/>
    <x v="1"/>
    <x v="1"/>
    <x v="1"/>
    <x v="5"/>
    <n v="1"/>
    <n v="1"/>
    <x v="2"/>
    <x v="1"/>
    <s v="cl"/>
    <n v="100"/>
  </r>
  <r>
    <x v="1"/>
    <x v="10"/>
    <x v="1"/>
    <x v="1"/>
    <x v="1"/>
    <x v="5"/>
    <n v="1"/>
    <n v="1"/>
    <x v="2"/>
    <x v="1"/>
    <s v="m.dd.r"/>
    <n v="110"/>
  </r>
  <r>
    <x v="1"/>
    <x v="7"/>
    <x v="1"/>
    <x v="1"/>
    <x v="1"/>
    <x v="5"/>
    <n v="1"/>
    <n v="1"/>
    <x v="2"/>
    <x v="1"/>
    <s v="m.oth"/>
    <n v="-10"/>
  </r>
  <r>
    <x v="1"/>
    <x v="0"/>
    <x v="2"/>
    <x v="1"/>
    <x v="2"/>
    <x v="5"/>
    <n v="1"/>
    <n v="2"/>
    <x v="0"/>
    <x v="0"/>
    <s v="cl"/>
    <n v="0.02"/>
  </r>
  <r>
    <x v="1"/>
    <x v="10"/>
    <x v="2"/>
    <x v="1"/>
    <x v="2"/>
    <x v="5"/>
    <n v="1"/>
    <n v="2"/>
    <x v="0"/>
    <x v="0"/>
    <s v="m.dd.r"/>
    <n v="2.2000000000000002"/>
  </r>
  <r>
    <x v="1"/>
    <x v="4"/>
    <x v="2"/>
    <x v="1"/>
    <x v="2"/>
    <x v="5"/>
    <n v="1"/>
    <n v="2"/>
    <x v="0"/>
    <x v="0"/>
    <s v="m.rd.r"/>
    <n v="30"/>
  </r>
  <r>
    <x v="1"/>
    <x v="1"/>
    <x v="2"/>
    <x v="1"/>
    <x v="2"/>
    <x v="5"/>
    <n v="1"/>
    <n v="2"/>
    <x v="0"/>
    <x v="0"/>
    <s v="m.rem.mig"/>
    <n v="-30.18"/>
  </r>
  <r>
    <x v="1"/>
    <x v="11"/>
    <x v="2"/>
    <x v="1"/>
    <x v="2"/>
    <x v="5"/>
    <n v="1"/>
    <n v="2"/>
    <x v="0"/>
    <x v="0"/>
    <s v="tfr.1.2"/>
    <n v="-2"/>
  </r>
  <r>
    <x v="1"/>
    <x v="11"/>
    <x v="2"/>
    <x v="1"/>
    <x v="2"/>
    <x v="5"/>
    <n v="1"/>
    <n v="2"/>
    <x v="2"/>
    <x v="0"/>
    <s v="tfr.1.2"/>
    <n v="2"/>
  </r>
  <r>
    <x v="1"/>
    <x v="3"/>
    <x v="2"/>
    <x v="1"/>
    <x v="2"/>
    <x v="5"/>
    <n v="1"/>
    <n v="2"/>
    <x v="2"/>
    <x v="0"/>
    <s v="op"/>
    <n v="-2"/>
  </r>
  <r>
    <x v="1"/>
    <x v="0"/>
    <x v="2"/>
    <x v="1"/>
    <x v="2"/>
    <x v="5"/>
    <n v="1"/>
    <n v="2"/>
    <x v="0"/>
    <x v="1"/>
    <s v="cl"/>
    <n v="-1500"/>
  </r>
  <r>
    <x v="1"/>
    <x v="10"/>
    <x v="2"/>
    <x v="1"/>
    <x v="2"/>
    <x v="5"/>
    <n v="1"/>
    <n v="2"/>
    <x v="0"/>
    <x v="1"/>
    <s v="m.dd.r"/>
    <n v="-110"/>
  </r>
  <r>
    <x v="1"/>
    <x v="7"/>
    <x v="2"/>
    <x v="1"/>
    <x v="2"/>
    <x v="5"/>
    <n v="1"/>
    <n v="2"/>
    <x v="0"/>
    <x v="1"/>
    <s v="m.oth"/>
    <n v="10"/>
  </r>
  <r>
    <x v="1"/>
    <x v="4"/>
    <x v="2"/>
    <x v="1"/>
    <x v="2"/>
    <x v="5"/>
    <n v="1"/>
    <n v="2"/>
    <x v="0"/>
    <x v="1"/>
    <s v="m.rd.r"/>
    <n v="-1500"/>
  </r>
  <r>
    <x v="1"/>
    <x v="11"/>
    <x v="2"/>
    <x v="1"/>
    <x v="2"/>
    <x v="5"/>
    <n v="1"/>
    <n v="2"/>
    <x v="0"/>
    <x v="1"/>
    <s v="tfr.1.2"/>
    <n v="100"/>
  </r>
  <r>
    <x v="1"/>
    <x v="11"/>
    <x v="2"/>
    <x v="1"/>
    <x v="2"/>
    <x v="5"/>
    <n v="1"/>
    <n v="2"/>
    <x v="2"/>
    <x v="1"/>
    <s v="tfr.1.2"/>
    <n v="-100"/>
  </r>
  <r>
    <x v="1"/>
    <x v="3"/>
    <x v="2"/>
    <x v="1"/>
    <x v="2"/>
    <x v="5"/>
    <n v="1"/>
    <n v="2"/>
    <x v="2"/>
    <x v="1"/>
    <s v="op"/>
    <n v="100"/>
  </r>
  <r>
    <x v="1"/>
    <x v="0"/>
    <x v="3"/>
    <x v="1"/>
    <x v="3"/>
    <x v="5"/>
    <n v="2"/>
    <n v="2"/>
    <x v="0"/>
    <x v="0"/>
    <s v="cl"/>
    <n v="-2"/>
  </r>
  <r>
    <x v="1"/>
    <x v="12"/>
    <x v="3"/>
    <x v="1"/>
    <x v="3"/>
    <x v="5"/>
    <n v="2"/>
    <n v="2"/>
    <x v="0"/>
    <x v="0"/>
    <s v="m.prm"/>
    <n v="1"/>
  </r>
  <r>
    <x v="1"/>
    <x v="5"/>
    <x v="3"/>
    <x v="1"/>
    <x v="3"/>
    <x v="5"/>
    <n v="2"/>
    <n v="2"/>
    <x v="0"/>
    <x v="0"/>
    <s v="m.rem"/>
    <n v="-3.02"/>
  </r>
  <r>
    <x v="1"/>
    <x v="3"/>
    <x v="3"/>
    <x v="1"/>
    <x v="3"/>
    <x v="5"/>
    <n v="2"/>
    <n v="2"/>
    <x v="0"/>
    <x v="0"/>
    <s v="op"/>
    <n v="0.02"/>
  </r>
  <r>
    <x v="1"/>
    <x v="0"/>
    <x v="3"/>
    <x v="1"/>
    <x v="3"/>
    <x v="5"/>
    <n v="2"/>
    <n v="2"/>
    <x v="0"/>
    <x v="1"/>
    <s v="cl"/>
    <n v="100"/>
  </r>
  <r>
    <x v="1"/>
    <x v="10"/>
    <x v="3"/>
    <x v="1"/>
    <x v="3"/>
    <x v="5"/>
    <n v="2"/>
    <n v="2"/>
    <x v="0"/>
    <x v="1"/>
    <s v="m.dd.r"/>
    <n v="110"/>
  </r>
  <r>
    <x v="1"/>
    <x v="7"/>
    <x v="3"/>
    <x v="1"/>
    <x v="3"/>
    <x v="5"/>
    <n v="2"/>
    <n v="2"/>
    <x v="0"/>
    <x v="1"/>
    <s v="m.oth"/>
    <n v="-10"/>
  </r>
  <r>
    <x v="1"/>
    <x v="4"/>
    <x v="3"/>
    <x v="1"/>
    <x v="3"/>
    <x v="5"/>
    <n v="2"/>
    <n v="2"/>
    <x v="0"/>
    <x v="1"/>
    <s v="m.rd.r"/>
    <n v="1500"/>
  </r>
  <r>
    <x v="1"/>
    <x v="3"/>
    <x v="3"/>
    <x v="1"/>
    <x v="3"/>
    <x v="5"/>
    <n v="2"/>
    <n v="2"/>
    <x v="0"/>
    <x v="1"/>
    <s v="op"/>
    <n v="-1500"/>
  </r>
  <r>
    <x v="1"/>
    <x v="10"/>
    <x v="4"/>
    <x v="1"/>
    <x v="4"/>
    <x v="5"/>
    <n v="2"/>
    <n v="2"/>
    <x v="0"/>
    <x v="0"/>
    <s v="m.dd.r"/>
    <n v="2.2000000000000002"/>
  </r>
  <r>
    <x v="1"/>
    <x v="5"/>
    <x v="4"/>
    <x v="1"/>
    <x v="4"/>
    <x v="5"/>
    <n v="2"/>
    <n v="2"/>
    <x v="0"/>
    <x v="0"/>
    <s v="m.rem"/>
    <n v="-0.2"/>
  </r>
  <r>
    <x v="1"/>
    <x v="3"/>
    <x v="4"/>
    <x v="1"/>
    <x v="4"/>
    <x v="5"/>
    <n v="2"/>
    <n v="2"/>
    <x v="0"/>
    <x v="0"/>
    <s v="op"/>
    <n v="-2"/>
  </r>
  <r>
    <x v="1"/>
    <x v="10"/>
    <x v="4"/>
    <x v="1"/>
    <x v="4"/>
    <x v="5"/>
    <n v="2"/>
    <n v="2"/>
    <x v="0"/>
    <x v="1"/>
    <s v="m.dd.r"/>
    <n v="-110"/>
  </r>
  <r>
    <x v="1"/>
    <x v="7"/>
    <x v="4"/>
    <x v="1"/>
    <x v="4"/>
    <x v="5"/>
    <n v="2"/>
    <n v="2"/>
    <x v="0"/>
    <x v="1"/>
    <s v="m.oth"/>
    <n v="10"/>
  </r>
  <r>
    <x v="1"/>
    <x v="3"/>
    <x v="4"/>
    <x v="1"/>
    <x v="4"/>
    <x v="5"/>
    <n v="2"/>
    <n v="2"/>
    <x v="0"/>
    <x v="1"/>
    <s v="op"/>
    <n v="100"/>
  </r>
  <r>
    <x v="0"/>
    <x v="0"/>
    <x v="0"/>
    <x v="0"/>
    <x v="0"/>
    <x v="6"/>
    <s v="NA"/>
    <n v="1"/>
    <x v="2"/>
    <x v="0"/>
    <s v="cl"/>
    <n v="-9.5"/>
  </r>
  <r>
    <x v="0"/>
    <x v="0"/>
    <x v="0"/>
    <x v="0"/>
    <x v="0"/>
    <x v="6"/>
    <s v="NA"/>
    <n v="1"/>
    <x v="2"/>
    <x v="1"/>
    <s v="cl"/>
    <n v="900"/>
  </r>
  <r>
    <x v="1"/>
    <x v="0"/>
    <x v="1"/>
    <x v="1"/>
    <x v="1"/>
    <x v="6"/>
    <n v="1"/>
    <n v="1"/>
    <x v="2"/>
    <x v="0"/>
    <s v="cl"/>
    <n v="-9"/>
  </r>
  <r>
    <x v="1"/>
    <x v="9"/>
    <x v="1"/>
    <x v="1"/>
    <x v="1"/>
    <x v="6"/>
    <n v="1"/>
    <n v="1"/>
    <x v="2"/>
    <x v="0"/>
    <s v="m.rd.t"/>
    <n v="0.1"/>
  </r>
  <r>
    <x v="1"/>
    <x v="5"/>
    <x v="1"/>
    <x v="1"/>
    <x v="1"/>
    <x v="6"/>
    <n v="1"/>
    <n v="1"/>
    <x v="2"/>
    <x v="0"/>
    <s v="m.rem"/>
    <n v="0.4"/>
  </r>
  <r>
    <x v="1"/>
    <x v="3"/>
    <x v="1"/>
    <x v="1"/>
    <x v="1"/>
    <x v="6"/>
    <n v="1"/>
    <n v="1"/>
    <x v="2"/>
    <x v="0"/>
    <s v="op"/>
    <n v="-9.5"/>
  </r>
  <r>
    <x v="1"/>
    <x v="0"/>
    <x v="1"/>
    <x v="1"/>
    <x v="1"/>
    <x v="6"/>
    <n v="1"/>
    <n v="1"/>
    <x v="2"/>
    <x v="1"/>
    <s v="cl"/>
    <n v="890"/>
  </r>
  <r>
    <x v="1"/>
    <x v="9"/>
    <x v="1"/>
    <x v="1"/>
    <x v="1"/>
    <x v="6"/>
    <n v="1"/>
    <n v="1"/>
    <x v="2"/>
    <x v="1"/>
    <s v="m.rd.t"/>
    <n v="-10"/>
  </r>
  <r>
    <x v="1"/>
    <x v="3"/>
    <x v="1"/>
    <x v="1"/>
    <x v="1"/>
    <x v="6"/>
    <n v="1"/>
    <n v="1"/>
    <x v="2"/>
    <x v="1"/>
    <s v="op"/>
    <n v="900"/>
  </r>
  <r>
    <x v="1"/>
    <x v="0"/>
    <x v="2"/>
    <x v="1"/>
    <x v="2"/>
    <x v="6"/>
    <n v="1"/>
    <n v="1"/>
    <x v="2"/>
    <x v="0"/>
    <s v="cl"/>
    <n v="-8.5"/>
  </r>
  <r>
    <x v="1"/>
    <x v="9"/>
    <x v="2"/>
    <x v="1"/>
    <x v="2"/>
    <x v="6"/>
    <n v="1"/>
    <n v="1"/>
    <x v="2"/>
    <x v="0"/>
    <s v="m.rd.t"/>
    <n v="0.1"/>
  </r>
  <r>
    <x v="1"/>
    <x v="5"/>
    <x v="2"/>
    <x v="1"/>
    <x v="2"/>
    <x v="6"/>
    <n v="1"/>
    <n v="1"/>
    <x v="2"/>
    <x v="0"/>
    <s v="m.rem"/>
    <n v="0.4"/>
  </r>
  <r>
    <x v="1"/>
    <x v="3"/>
    <x v="2"/>
    <x v="1"/>
    <x v="2"/>
    <x v="6"/>
    <n v="1"/>
    <n v="1"/>
    <x v="2"/>
    <x v="0"/>
    <s v="op"/>
    <n v="-9"/>
  </r>
  <r>
    <x v="1"/>
    <x v="0"/>
    <x v="2"/>
    <x v="1"/>
    <x v="2"/>
    <x v="6"/>
    <n v="1"/>
    <n v="1"/>
    <x v="2"/>
    <x v="1"/>
    <s v="cl"/>
    <n v="880"/>
  </r>
  <r>
    <x v="1"/>
    <x v="9"/>
    <x v="2"/>
    <x v="1"/>
    <x v="2"/>
    <x v="6"/>
    <n v="1"/>
    <n v="1"/>
    <x v="2"/>
    <x v="1"/>
    <s v="m.rd.t"/>
    <n v="-10"/>
  </r>
  <r>
    <x v="1"/>
    <x v="3"/>
    <x v="2"/>
    <x v="1"/>
    <x v="2"/>
    <x v="6"/>
    <n v="1"/>
    <n v="1"/>
    <x v="2"/>
    <x v="1"/>
    <s v="op"/>
    <n v="890"/>
  </r>
  <r>
    <x v="1"/>
    <x v="0"/>
    <x v="3"/>
    <x v="1"/>
    <x v="3"/>
    <x v="6"/>
    <n v="1"/>
    <n v="1"/>
    <x v="2"/>
    <x v="0"/>
    <s v="cl"/>
    <n v="-8"/>
  </r>
  <r>
    <x v="1"/>
    <x v="12"/>
    <x v="3"/>
    <x v="1"/>
    <x v="3"/>
    <x v="6"/>
    <n v="1"/>
    <n v="1"/>
    <x v="2"/>
    <x v="0"/>
    <s v="m.prm"/>
    <n v="-4"/>
  </r>
  <r>
    <x v="1"/>
    <x v="5"/>
    <x v="3"/>
    <x v="1"/>
    <x v="3"/>
    <x v="6"/>
    <n v="1"/>
    <n v="1"/>
    <x v="2"/>
    <x v="0"/>
    <s v="m.rem"/>
    <n v="4.5"/>
  </r>
  <r>
    <x v="1"/>
    <x v="3"/>
    <x v="3"/>
    <x v="1"/>
    <x v="3"/>
    <x v="6"/>
    <n v="1"/>
    <n v="1"/>
    <x v="2"/>
    <x v="0"/>
    <s v="op"/>
    <n v="-8.5"/>
  </r>
  <r>
    <x v="1"/>
    <x v="0"/>
    <x v="3"/>
    <x v="1"/>
    <x v="3"/>
    <x v="6"/>
    <n v="1"/>
    <n v="1"/>
    <x v="2"/>
    <x v="1"/>
    <s v="cl"/>
    <n v="880"/>
  </r>
  <r>
    <x v="1"/>
    <x v="3"/>
    <x v="3"/>
    <x v="1"/>
    <x v="3"/>
    <x v="6"/>
    <n v="1"/>
    <n v="1"/>
    <x v="2"/>
    <x v="1"/>
    <s v="op"/>
    <n v="880"/>
  </r>
  <r>
    <x v="1"/>
    <x v="8"/>
    <x v="4"/>
    <x v="1"/>
    <x v="4"/>
    <x v="6"/>
    <n v="1"/>
    <n v="1"/>
    <x v="2"/>
    <x v="0"/>
    <s v="m.rd.t.f"/>
    <n v="9.3000000000000007"/>
  </r>
  <r>
    <x v="1"/>
    <x v="5"/>
    <x v="4"/>
    <x v="1"/>
    <x v="4"/>
    <x v="6"/>
    <n v="1"/>
    <n v="1"/>
    <x v="2"/>
    <x v="0"/>
    <s v="m.rem"/>
    <n v="-1.3"/>
  </r>
  <r>
    <x v="1"/>
    <x v="3"/>
    <x v="4"/>
    <x v="1"/>
    <x v="4"/>
    <x v="6"/>
    <n v="1"/>
    <n v="1"/>
    <x v="2"/>
    <x v="0"/>
    <s v="op"/>
    <n v="-8"/>
  </r>
  <r>
    <x v="1"/>
    <x v="7"/>
    <x v="4"/>
    <x v="1"/>
    <x v="4"/>
    <x v="6"/>
    <n v="1"/>
    <n v="1"/>
    <x v="2"/>
    <x v="1"/>
    <s v="m.oth"/>
    <n v="50"/>
  </r>
  <r>
    <x v="1"/>
    <x v="8"/>
    <x v="4"/>
    <x v="1"/>
    <x v="4"/>
    <x v="6"/>
    <n v="1"/>
    <n v="1"/>
    <x v="2"/>
    <x v="1"/>
    <s v="m.rd.t.f"/>
    <n v="-930"/>
  </r>
  <r>
    <x v="1"/>
    <x v="3"/>
    <x v="4"/>
    <x v="1"/>
    <x v="4"/>
    <x v="6"/>
    <n v="1"/>
    <n v="1"/>
    <x v="2"/>
    <x v="1"/>
    <s v="op"/>
    <n v="880"/>
  </r>
  <r>
    <x v="0"/>
    <x v="0"/>
    <x v="0"/>
    <x v="0"/>
    <x v="0"/>
    <x v="7"/>
    <s v="NA"/>
    <n v="5"/>
    <x v="3"/>
    <x v="0"/>
    <s v="cl"/>
    <n v="-225"/>
  </r>
  <r>
    <x v="0"/>
    <x v="0"/>
    <x v="0"/>
    <x v="0"/>
    <x v="0"/>
    <x v="7"/>
    <s v="NA"/>
    <n v="5"/>
    <x v="3"/>
    <x v="1"/>
    <s v="cl"/>
    <n v="980"/>
  </r>
  <r>
    <x v="1"/>
    <x v="0"/>
    <x v="1"/>
    <x v="1"/>
    <x v="1"/>
    <x v="7"/>
    <n v="5"/>
    <n v="5"/>
    <x v="3"/>
    <x v="0"/>
    <s v="cl"/>
    <n v="-225"/>
  </r>
  <r>
    <x v="1"/>
    <x v="3"/>
    <x v="1"/>
    <x v="1"/>
    <x v="1"/>
    <x v="7"/>
    <n v="5"/>
    <n v="5"/>
    <x v="3"/>
    <x v="0"/>
    <s v="op"/>
    <n v="-225"/>
  </r>
  <r>
    <x v="1"/>
    <x v="0"/>
    <x v="1"/>
    <x v="1"/>
    <x v="1"/>
    <x v="7"/>
    <n v="5"/>
    <n v="5"/>
    <x v="3"/>
    <x v="1"/>
    <s v="cl"/>
    <n v="985"/>
  </r>
  <r>
    <x v="1"/>
    <x v="7"/>
    <x v="1"/>
    <x v="1"/>
    <x v="1"/>
    <x v="7"/>
    <n v="5"/>
    <n v="5"/>
    <x v="3"/>
    <x v="1"/>
    <s v="m.oth"/>
    <n v="5"/>
  </r>
  <r>
    <x v="1"/>
    <x v="3"/>
    <x v="1"/>
    <x v="1"/>
    <x v="1"/>
    <x v="7"/>
    <n v="5"/>
    <n v="5"/>
    <x v="3"/>
    <x v="1"/>
    <s v="op"/>
    <n v="980"/>
  </r>
  <r>
    <x v="1"/>
    <x v="0"/>
    <x v="2"/>
    <x v="1"/>
    <x v="2"/>
    <x v="7"/>
    <n v="5"/>
    <n v="2"/>
    <x v="0"/>
    <x v="0"/>
    <s v="cl"/>
    <n v="-55"/>
  </r>
  <r>
    <x v="1"/>
    <x v="4"/>
    <x v="2"/>
    <x v="1"/>
    <x v="2"/>
    <x v="7"/>
    <n v="5"/>
    <n v="2"/>
    <x v="3"/>
    <x v="0"/>
    <s v="m.rd.r"/>
    <n v="110"/>
  </r>
  <r>
    <x v="1"/>
    <x v="1"/>
    <x v="2"/>
    <x v="1"/>
    <x v="2"/>
    <x v="7"/>
    <n v="5"/>
    <n v="2"/>
    <x v="0"/>
    <x v="0"/>
    <s v="m.rem.mig"/>
    <n v="60"/>
  </r>
  <r>
    <x v="1"/>
    <x v="13"/>
    <x v="2"/>
    <x v="1"/>
    <x v="2"/>
    <x v="7"/>
    <n v="5"/>
    <n v="2"/>
    <x v="0"/>
    <x v="0"/>
    <s v="tfr.5.2"/>
    <n v="-115"/>
  </r>
  <r>
    <x v="1"/>
    <x v="13"/>
    <x v="2"/>
    <x v="1"/>
    <x v="2"/>
    <x v="7"/>
    <n v="5"/>
    <n v="2"/>
    <x v="3"/>
    <x v="0"/>
    <s v="tfr.5.2"/>
    <n v="115"/>
  </r>
  <r>
    <x v="1"/>
    <x v="3"/>
    <x v="2"/>
    <x v="1"/>
    <x v="2"/>
    <x v="7"/>
    <n v="5"/>
    <n v="2"/>
    <x v="3"/>
    <x v="0"/>
    <s v="op"/>
    <n v="-225"/>
  </r>
  <r>
    <x v="1"/>
    <x v="0"/>
    <x v="2"/>
    <x v="1"/>
    <x v="2"/>
    <x v="7"/>
    <n v="5"/>
    <n v="2"/>
    <x v="0"/>
    <x v="1"/>
    <s v="cl"/>
    <n v="490"/>
  </r>
  <r>
    <x v="1"/>
    <x v="7"/>
    <x v="2"/>
    <x v="1"/>
    <x v="2"/>
    <x v="7"/>
    <n v="5"/>
    <n v="2"/>
    <x v="0"/>
    <x v="1"/>
    <s v="m.oth"/>
    <n v="5"/>
  </r>
  <r>
    <x v="1"/>
    <x v="4"/>
    <x v="2"/>
    <x v="1"/>
    <x v="2"/>
    <x v="7"/>
    <n v="5"/>
    <n v="2"/>
    <x v="3"/>
    <x v="1"/>
    <s v="m.rd.r"/>
    <n v="-500"/>
  </r>
  <r>
    <x v="1"/>
    <x v="13"/>
    <x v="2"/>
    <x v="1"/>
    <x v="2"/>
    <x v="7"/>
    <n v="5"/>
    <n v="2"/>
    <x v="0"/>
    <x v="1"/>
    <s v="tfr.5.2"/>
    <n v="485"/>
  </r>
  <r>
    <x v="1"/>
    <x v="13"/>
    <x v="2"/>
    <x v="1"/>
    <x v="2"/>
    <x v="7"/>
    <n v="5"/>
    <n v="2"/>
    <x v="3"/>
    <x v="1"/>
    <s v="tfr.5.2"/>
    <n v="-485"/>
  </r>
  <r>
    <x v="1"/>
    <x v="3"/>
    <x v="2"/>
    <x v="1"/>
    <x v="2"/>
    <x v="7"/>
    <n v="5"/>
    <n v="2"/>
    <x v="3"/>
    <x v="1"/>
    <s v="op"/>
    <n v="985"/>
  </r>
  <r>
    <x v="1"/>
    <x v="0"/>
    <x v="3"/>
    <x v="1"/>
    <x v="3"/>
    <x v="7"/>
    <n v="2"/>
    <n v="2"/>
    <x v="0"/>
    <x v="0"/>
    <s v="cl"/>
    <n v="-55"/>
  </r>
  <r>
    <x v="1"/>
    <x v="12"/>
    <x v="3"/>
    <x v="1"/>
    <x v="3"/>
    <x v="7"/>
    <n v="2"/>
    <n v="2"/>
    <x v="0"/>
    <x v="0"/>
    <s v="m.prm"/>
    <n v="25"/>
  </r>
  <r>
    <x v="1"/>
    <x v="5"/>
    <x v="3"/>
    <x v="1"/>
    <x v="3"/>
    <x v="7"/>
    <n v="2"/>
    <n v="2"/>
    <x v="0"/>
    <x v="0"/>
    <s v="m.rem"/>
    <n v="-25"/>
  </r>
  <r>
    <x v="1"/>
    <x v="3"/>
    <x v="3"/>
    <x v="1"/>
    <x v="3"/>
    <x v="7"/>
    <n v="2"/>
    <n v="2"/>
    <x v="0"/>
    <x v="0"/>
    <s v="op"/>
    <n v="-55"/>
  </r>
  <r>
    <x v="1"/>
    <x v="0"/>
    <x v="3"/>
    <x v="1"/>
    <x v="3"/>
    <x v="7"/>
    <n v="2"/>
    <n v="2"/>
    <x v="0"/>
    <x v="1"/>
    <s v="cl"/>
    <n v="495"/>
  </r>
  <r>
    <x v="1"/>
    <x v="7"/>
    <x v="3"/>
    <x v="1"/>
    <x v="3"/>
    <x v="7"/>
    <n v="2"/>
    <n v="2"/>
    <x v="0"/>
    <x v="1"/>
    <s v="m.oth"/>
    <n v="5"/>
  </r>
  <r>
    <x v="1"/>
    <x v="3"/>
    <x v="3"/>
    <x v="1"/>
    <x v="3"/>
    <x v="7"/>
    <n v="2"/>
    <n v="2"/>
    <x v="0"/>
    <x v="1"/>
    <s v="op"/>
    <n v="490"/>
  </r>
  <r>
    <x v="1"/>
    <x v="4"/>
    <x v="4"/>
    <x v="1"/>
    <x v="4"/>
    <x v="7"/>
    <n v="2"/>
    <n v="2"/>
    <x v="0"/>
    <x v="0"/>
    <s v="m.rd.r"/>
    <n v="55"/>
  </r>
  <r>
    <x v="1"/>
    <x v="3"/>
    <x v="4"/>
    <x v="1"/>
    <x v="4"/>
    <x v="7"/>
    <n v="2"/>
    <n v="2"/>
    <x v="0"/>
    <x v="0"/>
    <s v="op"/>
    <n v="-55"/>
  </r>
  <r>
    <x v="1"/>
    <x v="7"/>
    <x v="4"/>
    <x v="1"/>
    <x v="4"/>
    <x v="7"/>
    <n v="2"/>
    <n v="2"/>
    <x v="0"/>
    <x v="1"/>
    <s v="m.oth"/>
    <n v="5"/>
  </r>
  <r>
    <x v="1"/>
    <x v="4"/>
    <x v="4"/>
    <x v="1"/>
    <x v="4"/>
    <x v="7"/>
    <n v="2"/>
    <n v="2"/>
    <x v="0"/>
    <x v="1"/>
    <s v="m.rd.r"/>
    <n v="-500"/>
  </r>
  <r>
    <x v="1"/>
    <x v="3"/>
    <x v="4"/>
    <x v="1"/>
    <x v="4"/>
    <x v="7"/>
    <n v="2"/>
    <n v="2"/>
    <x v="0"/>
    <x v="1"/>
    <s v="op"/>
    <n v="495"/>
  </r>
  <r>
    <x v="0"/>
    <x v="0"/>
    <x v="0"/>
    <x v="0"/>
    <x v="0"/>
    <x v="8"/>
    <s v="NA"/>
    <n v="5"/>
    <x v="3"/>
    <x v="0"/>
    <s v="cl"/>
    <n v="-225"/>
  </r>
  <r>
    <x v="0"/>
    <x v="0"/>
    <x v="0"/>
    <x v="0"/>
    <x v="0"/>
    <x v="8"/>
    <s v="NA"/>
    <n v="5"/>
    <x v="3"/>
    <x v="1"/>
    <s v="cl"/>
    <n v="980"/>
  </r>
  <r>
    <x v="1"/>
    <x v="0"/>
    <x v="1"/>
    <x v="1"/>
    <x v="1"/>
    <x v="8"/>
    <n v="5"/>
    <n v="5"/>
    <x v="3"/>
    <x v="0"/>
    <s v="cl"/>
    <n v="-225"/>
  </r>
  <r>
    <x v="1"/>
    <x v="3"/>
    <x v="1"/>
    <x v="1"/>
    <x v="1"/>
    <x v="8"/>
    <n v="5"/>
    <n v="5"/>
    <x v="3"/>
    <x v="0"/>
    <s v="op"/>
    <n v="-225"/>
  </r>
  <r>
    <x v="1"/>
    <x v="0"/>
    <x v="1"/>
    <x v="1"/>
    <x v="1"/>
    <x v="8"/>
    <n v="5"/>
    <n v="5"/>
    <x v="3"/>
    <x v="1"/>
    <s v="cl"/>
    <n v="985"/>
  </r>
  <r>
    <x v="1"/>
    <x v="7"/>
    <x v="1"/>
    <x v="1"/>
    <x v="1"/>
    <x v="8"/>
    <n v="5"/>
    <n v="5"/>
    <x v="3"/>
    <x v="1"/>
    <s v="m.oth"/>
    <n v="5"/>
  </r>
  <r>
    <x v="1"/>
    <x v="3"/>
    <x v="1"/>
    <x v="1"/>
    <x v="1"/>
    <x v="8"/>
    <n v="5"/>
    <n v="5"/>
    <x v="3"/>
    <x v="1"/>
    <s v="op"/>
    <n v="980"/>
  </r>
  <r>
    <x v="1"/>
    <x v="0"/>
    <x v="2"/>
    <x v="1"/>
    <x v="2"/>
    <x v="8"/>
    <n v="5"/>
    <n v="2"/>
    <x v="0"/>
    <x v="0"/>
    <s v="cl"/>
    <n v="-55"/>
  </r>
  <r>
    <x v="1"/>
    <x v="9"/>
    <x v="2"/>
    <x v="1"/>
    <x v="2"/>
    <x v="8"/>
    <n v="5"/>
    <n v="2"/>
    <x v="3"/>
    <x v="0"/>
    <s v="m.rd.t"/>
    <n v="110"/>
  </r>
  <r>
    <x v="1"/>
    <x v="1"/>
    <x v="2"/>
    <x v="1"/>
    <x v="2"/>
    <x v="8"/>
    <n v="5"/>
    <n v="2"/>
    <x v="0"/>
    <x v="0"/>
    <s v="m.rem.mig"/>
    <n v="60"/>
  </r>
  <r>
    <x v="1"/>
    <x v="13"/>
    <x v="2"/>
    <x v="1"/>
    <x v="2"/>
    <x v="8"/>
    <n v="5"/>
    <n v="2"/>
    <x v="0"/>
    <x v="0"/>
    <s v="tfr.5.2"/>
    <n v="-115"/>
  </r>
  <r>
    <x v="1"/>
    <x v="13"/>
    <x v="2"/>
    <x v="1"/>
    <x v="2"/>
    <x v="8"/>
    <n v="5"/>
    <n v="2"/>
    <x v="3"/>
    <x v="0"/>
    <s v="tfr.5.2"/>
    <n v="115"/>
  </r>
  <r>
    <x v="1"/>
    <x v="3"/>
    <x v="2"/>
    <x v="1"/>
    <x v="2"/>
    <x v="8"/>
    <n v="5"/>
    <n v="2"/>
    <x v="3"/>
    <x v="0"/>
    <s v="op"/>
    <n v="-225"/>
  </r>
  <r>
    <x v="1"/>
    <x v="0"/>
    <x v="2"/>
    <x v="1"/>
    <x v="2"/>
    <x v="8"/>
    <n v="5"/>
    <n v="2"/>
    <x v="0"/>
    <x v="1"/>
    <s v="cl"/>
    <n v="490"/>
  </r>
  <r>
    <x v="1"/>
    <x v="7"/>
    <x v="2"/>
    <x v="1"/>
    <x v="2"/>
    <x v="8"/>
    <n v="5"/>
    <n v="2"/>
    <x v="0"/>
    <x v="1"/>
    <s v="m.oth"/>
    <n v="5"/>
  </r>
  <r>
    <x v="1"/>
    <x v="9"/>
    <x v="2"/>
    <x v="1"/>
    <x v="2"/>
    <x v="8"/>
    <n v="5"/>
    <n v="2"/>
    <x v="3"/>
    <x v="1"/>
    <s v="m.rd.t"/>
    <n v="-500"/>
  </r>
  <r>
    <x v="1"/>
    <x v="13"/>
    <x v="2"/>
    <x v="1"/>
    <x v="2"/>
    <x v="8"/>
    <n v="5"/>
    <n v="2"/>
    <x v="0"/>
    <x v="1"/>
    <s v="tfr.5.2"/>
    <n v="485"/>
  </r>
  <r>
    <x v="1"/>
    <x v="13"/>
    <x v="2"/>
    <x v="1"/>
    <x v="2"/>
    <x v="8"/>
    <n v="5"/>
    <n v="2"/>
    <x v="3"/>
    <x v="1"/>
    <s v="tfr.5.2"/>
    <n v="-485"/>
  </r>
  <r>
    <x v="1"/>
    <x v="3"/>
    <x v="2"/>
    <x v="1"/>
    <x v="2"/>
    <x v="8"/>
    <n v="5"/>
    <n v="2"/>
    <x v="3"/>
    <x v="1"/>
    <s v="op"/>
    <n v="985"/>
  </r>
  <r>
    <x v="1"/>
    <x v="0"/>
    <x v="3"/>
    <x v="1"/>
    <x v="3"/>
    <x v="8"/>
    <n v="2"/>
    <n v="2"/>
    <x v="0"/>
    <x v="0"/>
    <s v="cl"/>
    <n v="-55"/>
  </r>
  <r>
    <x v="1"/>
    <x v="12"/>
    <x v="3"/>
    <x v="1"/>
    <x v="3"/>
    <x v="8"/>
    <n v="2"/>
    <n v="2"/>
    <x v="0"/>
    <x v="0"/>
    <s v="m.prm"/>
    <n v="45"/>
  </r>
  <r>
    <x v="1"/>
    <x v="5"/>
    <x v="3"/>
    <x v="1"/>
    <x v="3"/>
    <x v="8"/>
    <n v="2"/>
    <n v="2"/>
    <x v="0"/>
    <x v="0"/>
    <s v="m.rem"/>
    <n v="-45"/>
  </r>
  <r>
    <x v="1"/>
    <x v="3"/>
    <x v="3"/>
    <x v="1"/>
    <x v="3"/>
    <x v="8"/>
    <n v="2"/>
    <n v="2"/>
    <x v="0"/>
    <x v="0"/>
    <s v="op"/>
    <n v="-55"/>
  </r>
  <r>
    <x v="1"/>
    <x v="0"/>
    <x v="3"/>
    <x v="1"/>
    <x v="3"/>
    <x v="8"/>
    <n v="2"/>
    <n v="2"/>
    <x v="0"/>
    <x v="1"/>
    <s v="cl"/>
    <n v="495"/>
  </r>
  <r>
    <x v="1"/>
    <x v="7"/>
    <x v="3"/>
    <x v="1"/>
    <x v="3"/>
    <x v="8"/>
    <n v="2"/>
    <n v="2"/>
    <x v="0"/>
    <x v="1"/>
    <s v="m.oth"/>
    <n v="5"/>
  </r>
  <r>
    <x v="1"/>
    <x v="3"/>
    <x v="3"/>
    <x v="1"/>
    <x v="3"/>
    <x v="8"/>
    <n v="2"/>
    <n v="2"/>
    <x v="0"/>
    <x v="1"/>
    <s v="op"/>
    <n v="490"/>
  </r>
  <r>
    <x v="1"/>
    <x v="8"/>
    <x v="4"/>
    <x v="1"/>
    <x v="4"/>
    <x v="8"/>
    <n v="2"/>
    <n v="2"/>
    <x v="0"/>
    <x v="0"/>
    <s v="m.rd.t.f"/>
    <n v="55"/>
  </r>
  <r>
    <x v="1"/>
    <x v="3"/>
    <x v="4"/>
    <x v="1"/>
    <x v="4"/>
    <x v="8"/>
    <n v="2"/>
    <n v="2"/>
    <x v="0"/>
    <x v="0"/>
    <s v="op"/>
    <n v="-55"/>
  </r>
  <r>
    <x v="1"/>
    <x v="7"/>
    <x v="4"/>
    <x v="1"/>
    <x v="4"/>
    <x v="8"/>
    <n v="2"/>
    <n v="2"/>
    <x v="0"/>
    <x v="1"/>
    <s v="m.oth"/>
    <n v="5"/>
  </r>
  <r>
    <x v="1"/>
    <x v="8"/>
    <x v="4"/>
    <x v="1"/>
    <x v="4"/>
    <x v="8"/>
    <n v="2"/>
    <n v="2"/>
    <x v="0"/>
    <x v="1"/>
    <s v="m.rd.t.f"/>
    <n v="-500"/>
  </r>
  <r>
    <x v="1"/>
    <x v="3"/>
    <x v="4"/>
    <x v="1"/>
    <x v="4"/>
    <x v="8"/>
    <n v="2"/>
    <n v="2"/>
    <x v="0"/>
    <x v="1"/>
    <s v="op"/>
    <n v="495"/>
  </r>
  <r>
    <x v="0"/>
    <x v="0"/>
    <x v="0"/>
    <x v="0"/>
    <x v="0"/>
    <x v="9"/>
    <s v="NA"/>
    <n v="3"/>
    <x v="1"/>
    <x v="0"/>
    <s v="cl"/>
    <n v="400"/>
  </r>
  <r>
    <x v="0"/>
    <x v="0"/>
    <x v="0"/>
    <x v="0"/>
    <x v="0"/>
    <x v="9"/>
    <s v="NA"/>
    <n v="3"/>
    <x v="1"/>
    <x v="1"/>
    <s v="cl"/>
    <n v="1250"/>
  </r>
  <r>
    <x v="1"/>
    <x v="0"/>
    <x v="1"/>
    <x v="1"/>
    <x v="1"/>
    <x v="9"/>
    <n v="3"/>
    <n v="3"/>
    <x v="1"/>
    <x v="0"/>
    <s v="cl"/>
    <n v="0.02"/>
  </r>
  <r>
    <x v="1"/>
    <x v="5"/>
    <x v="1"/>
    <x v="1"/>
    <x v="1"/>
    <x v="9"/>
    <n v="3"/>
    <n v="3"/>
    <x v="1"/>
    <x v="0"/>
    <s v="m.rem"/>
    <n v="-399.98"/>
  </r>
  <r>
    <x v="1"/>
    <x v="3"/>
    <x v="1"/>
    <x v="1"/>
    <x v="1"/>
    <x v="9"/>
    <n v="3"/>
    <n v="3"/>
    <x v="1"/>
    <x v="0"/>
    <s v="op"/>
    <n v="400"/>
  </r>
  <r>
    <x v="1"/>
    <x v="0"/>
    <x v="1"/>
    <x v="1"/>
    <x v="1"/>
    <x v="9"/>
    <n v="3"/>
    <n v="3"/>
    <x v="1"/>
    <x v="1"/>
    <s v="cl"/>
    <n v="1250"/>
  </r>
  <r>
    <x v="1"/>
    <x v="3"/>
    <x v="1"/>
    <x v="1"/>
    <x v="1"/>
    <x v="9"/>
    <n v="3"/>
    <n v="3"/>
    <x v="1"/>
    <x v="1"/>
    <s v="op"/>
    <n v="1250"/>
  </r>
  <r>
    <x v="1"/>
    <x v="0"/>
    <x v="2"/>
    <x v="1"/>
    <x v="2"/>
    <x v="9"/>
    <n v="3"/>
    <n v="3"/>
    <x v="1"/>
    <x v="0"/>
    <s v="cl"/>
    <n v="0.02"/>
  </r>
  <r>
    <x v="1"/>
    <x v="3"/>
    <x v="2"/>
    <x v="1"/>
    <x v="2"/>
    <x v="9"/>
    <n v="3"/>
    <n v="3"/>
    <x v="1"/>
    <x v="0"/>
    <s v="op"/>
    <n v="0.02"/>
  </r>
  <r>
    <x v="1"/>
    <x v="0"/>
    <x v="2"/>
    <x v="1"/>
    <x v="2"/>
    <x v="9"/>
    <n v="3"/>
    <n v="3"/>
    <x v="1"/>
    <x v="1"/>
    <s v="cl"/>
    <n v="1000"/>
  </r>
  <r>
    <x v="1"/>
    <x v="4"/>
    <x v="2"/>
    <x v="1"/>
    <x v="2"/>
    <x v="9"/>
    <n v="3"/>
    <n v="3"/>
    <x v="1"/>
    <x v="1"/>
    <s v="m.rd.r"/>
    <n v="-250"/>
  </r>
  <r>
    <x v="1"/>
    <x v="3"/>
    <x v="2"/>
    <x v="1"/>
    <x v="2"/>
    <x v="9"/>
    <n v="3"/>
    <n v="3"/>
    <x v="1"/>
    <x v="1"/>
    <s v="op"/>
    <n v="1250"/>
  </r>
  <r>
    <x v="1"/>
    <x v="5"/>
    <x v="3"/>
    <x v="1"/>
    <x v="3"/>
    <x v="9"/>
    <n v="3"/>
    <n v="3"/>
    <x v="1"/>
    <x v="0"/>
    <s v="m.rem"/>
    <n v="-0.02"/>
  </r>
  <r>
    <x v="1"/>
    <x v="3"/>
    <x v="3"/>
    <x v="1"/>
    <x v="3"/>
    <x v="9"/>
    <n v="3"/>
    <n v="3"/>
    <x v="1"/>
    <x v="0"/>
    <s v="op"/>
    <n v="0.02"/>
  </r>
  <r>
    <x v="1"/>
    <x v="4"/>
    <x v="3"/>
    <x v="1"/>
    <x v="3"/>
    <x v="9"/>
    <n v="3"/>
    <n v="3"/>
    <x v="1"/>
    <x v="1"/>
    <s v="m.rd.r"/>
    <n v="-1000"/>
  </r>
  <r>
    <x v="1"/>
    <x v="3"/>
    <x v="3"/>
    <x v="1"/>
    <x v="3"/>
    <x v="9"/>
    <n v="3"/>
    <n v="3"/>
    <x v="1"/>
    <x v="1"/>
    <s v="op"/>
    <n v="1000"/>
  </r>
  <r>
    <x v="0"/>
    <x v="0"/>
    <x v="0"/>
    <x v="0"/>
    <x v="0"/>
    <x v="10"/>
    <s v="NA"/>
    <n v="1"/>
    <x v="2"/>
    <x v="0"/>
    <s v="cl"/>
    <n v="10"/>
  </r>
  <r>
    <x v="0"/>
    <x v="0"/>
    <x v="0"/>
    <x v="0"/>
    <x v="0"/>
    <x v="10"/>
    <s v="NA"/>
    <n v="1"/>
    <x v="2"/>
    <x v="1"/>
    <s v="cl"/>
    <n v="500"/>
  </r>
  <r>
    <x v="1"/>
    <x v="0"/>
    <x v="1"/>
    <x v="1"/>
    <x v="1"/>
    <x v="10"/>
    <n v="1"/>
    <n v="1"/>
    <x v="2"/>
    <x v="0"/>
    <s v="cl"/>
    <n v="2"/>
  </r>
  <r>
    <x v="1"/>
    <x v="5"/>
    <x v="1"/>
    <x v="1"/>
    <x v="1"/>
    <x v="10"/>
    <n v="1"/>
    <n v="1"/>
    <x v="2"/>
    <x v="0"/>
    <s v="m.rem"/>
    <n v="-8"/>
  </r>
  <r>
    <x v="1"/>
    <x v="3"/>
    <x v="1"/>
    <x v="1"/>
    <x v="1"/>
    <x v="10"/>
    <n v="1"/>
    <n v="1"/>
    <x v="2"/>
    <x v="0"/>
    <s v="op"/>
    <n v="10"/>
  </r>
  <r>
    <x v="1"/>
    <x v="0"/>
    <x v="1"/>
    <x v="1"/>
    <x v="1"/>
    <x v="10"/>
    <n v="1"/>
    <n v="1"/>
    <x v="2"/>
    <x v="1"/>
    <s v="cl"/>
    <n v="0.01"/>
  </r>
  <r>
    <x v="1"/>
    <x v="9"/>
    <x v="1"/>
    <x v="1"/>
    <x v="1"/>
    <x v="10"/>
    <n v="1"/>
    <n v="1"/>
    <x v="2"/>
    <x v="1"/>
    <s v="m.rd.t"/>
    <n v="-499.99"/>
  </r>
  <r>
    <x v="1"/>
    <x v="3"/>
    <x v="1"/>
    <x v="1"/>
    <x v="1"/>
    <x v="10"/>
    <n v="1"/>
    <n v="1"/>
    <x v="2"/>
    <x v="1"/>
    <s v="op"/>
    <n v="500"/>
  </r>
  <r>
    <x v="1"/>
    <x v="0"/>
    <x v="2"/>
    <x v="1"/>
    <x v="2"/>
    <x v="10"/>
    <n v="1"/>
    <n v="1"/>
    <x v="2"/>
    <x v="0"/>
    <s v="cl"/>
    <n v="2"/>
  </r>
  <r>
    <x v="1"/>
    <x v="3"/>
    <x v="2"/>
    <x v="1"/>
    <x v="2"/>
    <x v="10"/>
    <n v="1"/>
    <n v="1"/>
    <x v="2"/>
    <x v="0"/>
    <s v="op"/>
    <n v="2"/>
  </r>
  <r>
    <x v="1"/>
    <x v="0"/>
    <x v="2"/>
    <x v="1"/>
    <x v="2"/>
    <x v="10"/>
    <n v="1"/>
    <n v="1"/>
    <x v="2"/>
    <x v="1"/>
    <s v="cl"/>
    <n v="0.01"/>
  </r>
  <r>
    <x v="1"/>
    <x v="3"/>
    <x v="2"/>
    <x v="1"/>
    <x v="2"/>
    <x v="10"/>
    <n v="1"/>
    <n v="1"/>
    <x v="2"/>
    <x v="1"/>
    <s v="op"/>
    <n v="0.01"/>
  </r>
  <r>
    <x v="1"/>
    <x v="0"/>
    <x v="3"/>
    <x v="1"/>
    <x v="3"/>
    <x v="10"/>
    <n v="1"/>
    <n v="1"/>
    <x v="2"/>
    <x v="0"/>
    <s v="cl"/>
    <n v="1"/>
  </r>
  <r>
    <x v="1"/>
    <x v="12"/>
    <x v="3"/>
    <x v="1"/>
    <x v="3"/>
    <x v="10"/>
    <n v="1"/>
    <n v="1"/>
    <x v="2"/>
    <x v="0"/>
    <s v="m.prm"/>
    <n v="2"/>
  </r>
  <r>
    <x v="1"/>
    <x v="5"/>
    <x v="3"/>
    <x v="1"/>
    <x v="3"/>
    <x v="10"/>
    <n v="1"/>
    <n v="1"/>
    <x v="2"/>
    <x v="0"/>
    <s v="m.rem"/>
    <n v="-3"/>
  </r>
  <r>
    <x v="1"/>
    <x v="3"/>
    <x v="3"/>
    <x v="1"/>
    <x v="3"/>
    <x v="10"/>
    <n v="1"/>
    <n v="1"/>
    <x v="2"/>
    <x v="0"/>
    <s v="op"/>
    <n v="2"/>
  </r>
  <r>
    <x v="1"/>
    <x v="0"/>
    <x v="3"/>
    <x v="1"/>
    <x v="3"/>
    <x v="10"/>
    <n v="1"/>
    <n v="1"/>
    <x v="2"/>
    <x v="1"/>
    <s v="cl"/>
    <n v="5"/>
  </r>
  <r>
    <x v="1"/>
    <x v="14"/>
    <x v="3"/>
    <x v="1"/>
    <x v="3"/>
    <x v="10"/>
    <n v="1"/>
    <n v="1"/>
    <x v="2"/>
    <x v="1"/>
    <s v="m.dd.t"/>
    <n v="4.99"/>
  </r>
  <r>
    <x v="1"/>
    <x v="3"/>
    <x v="3"/>
    <x v="1"/>
    <x v="3"/>
    <x v="10"/>
    <n v="1"/>
    <n v="1"/>
    <x v="2"/>
    <x v="1"/>
    <s v="op"/>
    <n v="0.01"/>
  </r>
  <r>
    <x v="1"/>
    <x v="5"/>
    <x v="4"/>
    <x v="1"/>
    <x v="4"/>
    <x v="10"/>
    <n v="1"/>
    <n v="1"/>
    <x v="2"/>
    <x v="0"/>
    <s v="m.rem"/>
    <n v="-1"/>
  </r>
  <r>
    <x v="1"/>
    <x v="3"/>
    <x v="4"/>
    <x v="1"/>
    <x v="4"/>
    <x v="10"/>
    <n v="1"/>
    <n v="1"/>
    <x v="2"/>
    <x v="0"/>
    <s v="op"/>
    <n v="1"/>
  </r>
  <r>
    <x v="1"/>
    <x v="8"/>
    <x v="4"/>
    <x v="1"/>
    <x v="4"/>
    <x v="10"/>
    <n v="1"/>
    <n v="1"/>
    <x v="2"/>
    <x v="1"/>
    <s v="m.rd.t.f"/>
    <n v="-5"/>
  </r>
  <r>
    <x v="1"/>
    <x v="3"/>
    <x v="4"/>
    <x v="1"/>
    <x v="4"/>
    <x v="10"/>
    <n v="1"/>
    <n v="1"/>
    <x v="2"/>
    <x v="1"/>
    <s v="op"/>
    <n v="5"/>
  </r>
  <r>
    <x v="0"/>
    <x v="0"/>
    <x v="0"/>
    <x v="0"/>
    <x v="0"/>
    <x v="11"/>
    <s v="NA"/>
    <n v="3"/>
    <x v="1"/>
    <x v="0"/>
    <s v="cl"/>
    <n v="-600"/>
  </r>
  <r>
    <x v="0"/>
    <x v="0"/>
    <x v="0"/>
    <x v="0"/>
    <x v="0"/>
    <x v="11"/>
    <s v="NA"/>
    <n v="3"/>
    <x v="1"/>
    <x v="1"/>
    <s v="cl"/>
    <n v="475"/>
  </r>
  <r>
    <x v="1"/>
    <x v="0"/>
    <x v="1"/>
    <x v="1"/>
    <x v="1"/>
    <x v="11"/>
    <n v="3"/>
    <n v="3"/>
    <x v="1"/>
    <x v="0"/>
    <s v="cl"/>
    <n v="-590"/>
  </r>
  <r>
    <x v="1"/>
    <x v="10"/>
    <x v="1"/>
    <x v="1"/>
    <x v="1"/>
    <x v="11"/>
    <n v="3"/>
    <n v="3"/>
    <x v="1"/>
    <x v="0"/>
    <s v="m.dd.r"/>
    <n v="-25"/>
  </r>
  <r>
    <x v="1"/>
    <x v="5"/>
    <x v="1"/>
    <x v="1"/>
    <x v="1"/>
    <x v="11"/>
    <n v="3"/>
    <n v="3"/>
    <x v="1"/>
    <x v="0"/>
    <s v="m.rem"/>
    <n v="35"/>
  </r>
  <r>
    <x v="1"/>
    <x v="3"/>
    <x v="1"/>
    <x v="1"/>
    <x v="1"/>
    <x v="11"/>
    <n v="3"/>
    <n v="3"/>
    <x v="1"/>
    <x v="0"/>
    <s v="op"/>
    <n v="-600"/>
  </r>
  <r>
    <x v="1"/>
    <x v="0"/>
    <x v="1"/>
    <x v="1"/>
    <x v="1"/>
    <x v="11"/>
    <n v="3"/>
    <n v="3"/>
    <x v="1"/>
    <x v="1"/>
    <s v="cl"/>
    <n v="500"/>
  </r>
  <r>
    <x v="1"/>
    <x v="10"/>
    <x v="1"/>
    <x v="1"/>
    <x v="1"/>
    <x v="11"/>
    <n v="3"/>
    <n v="3"/>
    <x v="1"/>
    <x v="1"/>
    <s v="m.dd.r"/>
    <n v="25"/>
  </r>
  <r>
    <x v="1"/>
    <x v="3"/>
    <x v="1"/>
    <x v="1"/>
    <x v="1"/>
    <x v="11"/>
    <n v="3"/>
    <n v="3"/>
    <x v="1"/>
    <x v="1"/>
    <s v="op"/>
    <n v="475"/>
  </r>
  <r>
    <x v="1"/>
    <x v="0"/>
    <x v="2"/>
    <x v="1"/>
    <x v="2"/>
    <x v="11"/>
    <n v="3"/>
    <n v="3"/>
    <x v="1"/>
    <x v="0"/>
    <s v="cl"/>
    <n v="-580"/>
  </r>
  <r>
    <x v="1"/>
    <x v="10"/>
    <x v="2"/>
    <x v="1"/>
    <x v="2"/>
    <x v="11"/>
    <n v="3"/>
    <n v="3"/>
    <x v="1"/>
    <x v="0"/>
    <s v="m.dd.r"/>
    <n v="25"/>
  </r>
  <r>
    <x v="1"/>
    <x v="4"/>
    <x v="2"/>
    <x v="1"/>
    <x v="2"/>
    <x v="11"/>
    <n v="3"/>
    <n v="3"/>
    <x v="1"/>
    <x v="0"/>
    <s v="m.rd.r"/>
    <n v="25"/>
  </r>
  <r>
    <x v="1"/>
    <x v="5"/>
    <x v="2"/>
    <x v="1"/>
    <x v="2"/>
    <x v="11"/>
    <n v="3"/>
    <n v="3"/>
    <x v="1"/>
    <x v="0"/>
    <s v="m.rem"/>
    <n v="-40"/>
  </r>
  <r>
    <x v="1"/>
    <x v="3"/>
    <x v="2"/>
    <x v="1"/>
    <x v="2"/>
    <x v="11"/>
    <n v="3"/>
    <n v="3"/>
    <x v="1"/>
    <x v="0"/>
    <s v="op"/>
    <n v="-590"/>
  </r>
  <r>
    <x v="1"/>
    <x v="0"/>
    <x v="2"/>
    <x v="1"/>
    <x v="2"/>
    <x v="11"/>
    <n v="3"/>
    <n v="3"/>
    <x v="1"/>
    <x v="1"/>
    <s v="cl"/>
    <n v="450"/>
  </r>
  <r>
    <x v="1"/>
    <x v="10"/>
    <x v="2"/>
    <x v="1"/>
    <x v="2"/>
    <x v="11"/>
    <n v="3"/>
    <n v="3"/>
    <x v="1"/>
    <x v="1"/>
    <s v="m.dd.r"/>
    <n v="-25"/>
  </r>
  <r>
    <x v="1"/>
    <x v="4"/>
    <x v="2"/>
    <x v="1"/>
    <x v="2"/>
    <x v="11"/>
    <n v="3"/>
    <n v="3"/>
    <x v="1"/>
    <x v="1"/>
    <s v="m.rd.r"/>
    <n v="-25"/>
  </r>
  <r>
    <x v="1"/>
    <x v="3"/>
    <x v="2"/>
    <x v="1"/>
    <x v="2"/>
    <x v="11"/>
    <n v="3"/>
    <n v="3"/>
    <x v="1"/>
    <x v="1"/>
    <s v="op"/>
    <n v="500"/>
  </r>
  <r>
    <x v="1"/>
    <x v="0"/>
    <x v="3"/>
    <x v="1"/>
    <x v="3"/>
    <x v="11"/>
    <n v="3"/>
    <n v="3"/>
    <x v="1"/>
    <x v="0"/>
    <s v="cl"/>
    <n v="-580"/>
  </r>
  <r>
    <x v="1"/>
    <x v="12"/>
    <x v="3"/>
    <x v="1"/>
    <x v="3"/>
    <x v="11"/>
    <n v="3"/>
    <n v="3"/>
    <x v="1"/>
    <x v="0"/>
    <s v="m.prm"/>
    <n v="-230"/>
  </r>
  <r>
    <x v="1"/>
    <x v="4"/>
    <x v="3"/>
    <x v="1"/>
    <x v="3"/>
    <x v="11"/>
    <n v="3"/>
    <n v="3"/>
    <x v="1"/>
    <x v="0"/>
    <s v="m.rd.r"/>
    <n v="-10"/>
  </r>
  <r>
    <x v="1"/>
    <x v="5"/>
    <x v="3"/>
    <x v="1"/>
    <x v="3"/>
    <x v="11"/>
    <n v="3"/>
    <n v="3"/>
    <x v="1"/>
    <x v="0"/>
    <s v="m.rem"/>
    <n v="240"/>
  </r>
  <r>
    <x v="1"/>
    <x v="3"/>
    <x v="3"/>
    <x v="1"/>
    <x v="3"/>
    <x v="11"/>
    <n v="3"/>
    <n v="3"/>
    <x v="1"/>
    <x v="0"/>
    <s v="op"/>
    <n v="-580"/>
  </r>
  <r>
    <x v="1"/>
    <x v="0"/>
    <x v="3"/>
    <x v="1"/>
    <x v="3"/>
    <x v="11"/>
    <n v="3"/>
    <n v="3"/>
    <x v="1"/>
    <x v="1"/>
    <s v="cl"/>
    <n v="460"/>
  </r>
  <r>
    <x v="1"/>
    <x v="4"/>
    <x v="3"/>
    <x v="1"/>
    <x v="3"/>
    <x v="11"/>
    <n v="3"/>
    <n v="3"/>
    <x v="1"/>
    <x v="1"/>
    <s v="m.rd.r"/>
    <n v="10"/>
  </r>
  <r>
    <x v="1"/>
    <x v="3"/>
    <x v="3"/>
    <x v="1"/>
    <x v="3"/>
    <x v="11"/>
    <n v="3"/>
    <n v="3"/>
    <x v="1"/>
    <x v="1"/>
    <s v="op"/>
    <n v="450"/>
  </r>
  <r>
    <x v="1"/>
    <x v="4"/>
    <x v="4"/>
    <x v="1"/>
    <x v="4"/>
    <x v="11"/>
    <n v="3"/>
    <n v="3"/>
    <x v="1"/>
    <x v="0"/>
    <s v="m.rd.r"/>
    <n v="460"/>
  </r>
  <r>
    <x v="1"/>
    <x v="5"/>
    <x v="4"/>
    <x v="1"/>
    <x v="4"/>
    <x v="11"/>
    <n v="3"/>
    <n v="3"/>
    <x v="1"/>
    <x v="0"/>
    <s v="m.rem"/>
    <n v="120"/>
  </r>
  <r>
    <x v="1"/>
    <x v="3"/>
    <x v="4"/>
    <x v="1"/>
    <x v="4"/>
    <x v="11"/>
    <n v="3"/>
    <n v="3"/>
    <x v="1"/>
    <x v="0"/>
    <s v="op"/>
    <n v="-580"/>
  </r>
  <r>
    <x v="1"/>
    <x v="4"/>
    <x v="4"/>
    <x v="1"/>
    <x v="4"/>
    <x v="11"/>
    <n v="3"/>
    <n v="3"/>
    <x v="1"/>
    <x v="1"/>
    <s v="m.rd.r"/>
    <n v="-460"/>
  </r>
  <r>
    <x v="1"/>
    <x v="3"/>
    <x v="4"/>
    <x v="1"/>
    <x v="4"/>
    <x v="11"/>
    <n v="3"/>
    <n v="3"/>
    <x v="1"/>
    <x v="1"/>
    <s v="op"/>
    <n v="460"/>
  </r>
  <r>
    <x v="1"/>
    <x v="0"/>
    <x v="1"/>
    <x v="1"/>
    <x v="1"/>
    <x v="12"/>
    <n v="1"/>
    <n v="3"/>
    <x v="1"/>
    <x v="0"/>
    <s v="cl"/>
    <n v="-3000"/>
  </r>
  <r>
    <x v="1"/>
    <x v="10"/>
    <x v="1"/>
    <x v="1"/>
    <x v="1"/>
    <x v="12"/>
    <n v="1"/>
    <n v="3"/>
    <x v="2"/>
    <x v="0"/>
    <s v="m.dd.r"/>
    <n v="-3000"/>
  </r>
  <r>
    <x v="1"/>
    <x v="15"/>
    <x v="1"/>
    <x v="1"/>
    <x v="1"/>
    <x v="12"/>
    <n v="1"/>
    <n v="3"/>
    <x v="1"/>
    <x v="0"/>
    <s v="tfr.1.3"/>
    <n v="-3000"/>
  </r>
  <r>
    <x v="1"/>
    <x v="15"/>
    <x v="1"/>
    <x v="1"/>
    <x v="1"/>
    <x v="12"/>
    <n v="1"/>
    <n v="3"/>
    <x v="2"/>
    <x v="0"/>
    <s v="tfr.1.3"/>
    <n v="3000"/>
  </r>
  <r>
    <x v="1"/>
    <x v="0"/>
    <x v="1"/>
    <x v="1"/>
    <x v="1"/>
    <x v="12"/>
    <n v="1"/>
    <n v="3"/>
    <x v="1"/>
    <x v="1"/>
    <s v="cl"/>
    <n v="7500"/>
  </r>
  <r>
    <x v="1"/>
    <x v="10"/>
    <x v="1"/>
    <x v="1"/>
    <x v="1"/>
    <x v="12"/>
    <n v="1"/>
    <n v="3"/>
    <x v="2"/>
    <x v="1"/>
    <s v="m.dd.r"/>
    <n v="7500"/>
  </r>
  <r>
    <x v="1"/>
    <x v="15"/>
    <x v="1"/>
    <x v="1"/>
    <x v="1"/>
    <x v="12"/>
    <n v="1"/>
    <n v="3"/>
    <x v="1"/>
    <x v="1"/>
    <s v="tfr.1.3"/>
    <n v="7500"/>
  </r>
  <r>
    <x v="1"/>
    <x v="15"/>
    <x v="1"/>
    <x v="1"/>
    <x v="1"/>
    <x v="12"/>
    <n v="1"/>
    <n v="3"/>
    <x v="2"/>
    <x v="1"/>
    <s v="tfr.1.3"/>
    <n v="-7500"/>
  </r>
  <r>
    <x v="1"/>
    <x v="10"/>
    <x v="2"/>
    <x v="1"/>
    <x v="2"/>
    <x v="12"/>
    <n v="3"/>
    <n v="3"/>
    <x v="1"/>
    <x v="0"/>
    <s v="m.dd.r"/>
    <n v="1400"/>
  </r>
  <r>
    <x v="1"/>
    <x v="5"/>
    <x v="2"/>
    <x v="1"/>
    <x v="2"/>
    <x v="12"/>
    <n v="3"/>
    <n v="3"/>
    <x v="1"/>
    <x v="0"/>
    <s v="m.rem"/>
    <n v="-2400"/>
  </r>
  <r>
    <x v="1"/>
    <x v="6"/>
    <x v="2"/>
    <x v="1"/>
    <x v="2"/>
    <x v="12"/>
    <n v="3"/>
    <n v="3"/>
    <x v="1"/>
    <x v="0"/>
    <s v="m.wof"/>
    <n v="4000"/>
  </r>
  <r>
    <x v="1"/>
    <x v="3"/>
    <x v="2"/>
    <x v="1"/>
    <x v="2"/>
    <x v="12"/>
    <n v="3"/>
    <n v="3"/>
    <x v="1"/>
    <x v="0"/>
    <s v="op"/>
    <n v="-3000"/>
  </r>
  <r>
    <x v="1"/>
    <x v="10"/>
    <x v="2"/>
    <x v="1"/>
    <x v="2"/>
    <x v="12"/>
    <n v="3"/>
    <n v="3"/>
    <x v="1"/>
    <x v="1"/>
    <s v="m.dd.r"/>
    <n v="-3500"/>
  </r>
  <r>
    <x v="1"/>
    <x v="6"/>
    <x v="2"/>
    <x v="1"/>
    <x v="2"/>
    <x v="12"/>
    <n v="3"/>
    <n v="3"/>
    <x v="1"/>
    <x v="1"/>
    <s v="m.wof"/>
    <n v="-4000"/>
  </r>
  <r>
    <x v="1"/>
    <x v="3"/>
    <x v="2"/>
    <x v="1"/>
    <x v="2"/>
    <x v="12"/>
    <n v="3"/>
    <n v="3"/>
    <x v="1"/>
    <x v="1"/>
    <s v="op"/>
    <n v="7500"/>
  </r>
  <r>
    <x v="1"/>
    <x v="0"/>
    <x v="1"/>
    <x v="1"/>
    <x v="1"/>
    <x v="13"/>
    <n v="1"/>
    <n v="1"/>
    <x v="2"/>
    <x v="0"/>
    <s v="cl"/>
    <n v="-9.5"/>
  </r>
  <r>
    <x v="1"/>
    <x v="14"/>
    <x v="1"/>
    <x v="1"/>
    <x v="1"/>
    <x v="13"/>
    <n v="1"/>
    <n v="1"/>
    <x v="2"/>
    <x v="0"/>
    <s v="m.dd.t"/>
    <n v="-9.5"/>
  </r>
  <r>
    <x v="1"/>
    <x v="0"/>
    <x v="1"/>
    <x v="1"/>
    <x v="1"/>
    <x v="13"/>
    <n v="1"/>
    <n v="1"/>
    <x v="2"/>
    <x v="1"/>
    <s v="cl"/>
    <n v="1000"/>
  </r>
  <r>
    <x v="1"/>
    <x v="14"/>
    <x v="1"/>
    <x v="1"/>
    <x v="1"/>
    <x v="13"/>
    <n v="1"/>
    <n v="1"/>
    <x v="2"/>
    <x v="1"/>
    <s v="m.dd.t"/>
    <n v="950"/>
  </r>
  <r>
    <x v="1"/>
    <x v="7"/>
    <x v="1"/>
    <x v="1"/>
    <x v="1"/>
    <x v="13"/>
    <n v="1"/>
    <n v="1"/>
    <x v="2"/>
    <x v="1"/>
    <s v="m.oth"/>
    <n v="50"/>
  </r>
  <r>
    <x v="1"/>
    <x v="8"/>
    <x v="2"/>
    <x v="1"/>
    <x v="2"/>
    <x v="13"/>
    <n v="1"/>
    <n v="1"/>
    <x v="2"/>
    <x v="0"/>
    <s v="m.rd.t.f"/>
    <n v="9.5"/>
  </r>
  <r>
    <x v="1"/>
    <x v="3"/>
    <x v="2"/>
    <x v="1"/>
    <x v="2"/>
    <x v="13"/>
    <n v="1"/>
    <n v="1"/>
    <x v="2"/>
    <x v="0"/>
    <s v="op"/>
    <n v="-9.5"/>
  </r>
  <r>
    <x v="1"/>
    <x v="7"/>
    <x v="2"/>
    <x v="1"/>
    <x v="2"/>
    <x v="13"/>
    <n v="1"/>
    <n v="1"/>
    <x v="2"/>
    <x v="1"/>
    <s v="m.oth"/>
    <n v="-50"/>
  </r>
  <r>
    <x v="1"/>
    <x v="8"/>
    <x v="2"/>
    <x v="1"/>
    <x v="2"/>
    <x v="13"/>
    <n v="1"/>
    <n v="1"/>
    <x v="2"/>
    <x v="1"/>
    <s v="m.rd.t.f"/>
    <n v="-950"/>
  </r>
  <r>
    <x v="1"/>
    <x v="3"/>
    <x v="2"/>
    <x v="1"/>
    <x v="2"/>
    <x v="13"/>
    <n v="1"/>
    <n v="1"/>
    <x v="2"/>
    <x v="1"/>
    <s v="op"/>
    <n v="1000"/>
  </r>
  <r>
    <x v="1"/>
    <x v="0"/>
    <x v="1"/>
    <x v="1"/>
    <x v="1"/>
    <x v="14"/>
    <n v="1"/>
    <n v="1"/>
    <x v="2"/>
    <x v="0"/>
    <s v="cl"/>
    <n v="-2"/>
  </r>
  <r>
    <x v="1"/>
    <x v="10"/>
    <x v="1"/>
    <x v="1"/>
    <x v="1"/>
    <x v="14"/>
    <n v="1"/>
    <n v="1"/>
    <x v="2"/>
    <x v="0"/>
    <s v="m.dd.r"/>
    <n v="-2.2000000000000002"/>
  </r>
  <r>
    <x v="1"/>
    <x v="5"/>
    <x v="1"/>
    <x v="1"/>
    <x v="1"/>
    <x v="14"/>
    <n v="1"/>
    <n v="1"/>
    <x v="2"/>
    <x v="0"/>
    <s v="m.rem"/>
    <n v="0.2"/>
  </r>
  <r>
    <x v="1"/>
    <x v="0"/>
    <x v="1"/>
    <x v="1"/>
    <x v="1"/>
    <x v="14"/>
    <n v="1"/>
    <n v="1"/>
    <x v="2"/>
    <x v="1"/>
    <s v="cl"/>
    <n v="100"/>
  </r>
  <r>
    <x v="1"/>
    <x v="10"/>
    <x v="1"/>
    <x v="1"/>
    <x v="1"/>
    <x v="14"/>
    <n v="1"/>
    <n v="1"/>
    <x v="2"/>
    <x v="1"/>
    <s v="m.dd.r"/>
    <n v="110"/>
  </r>
  <r>
    <x v="1"/>
    <x v="7"/>
    <x v="1"/>
    <x v="1"/>
    <x v="1"/>
    <x v="14"/>
    <n v="1"/>
    <n v="1"/>
    <x v="2"/>
    <x v="1"/>
    <s v="m.oth"/>
    <n v="-10"/>
  </r>
  <r>
    <x v="1"/>
    <x v="0"/>
    <x v="2"/>
    <x v="1"/>
    <x v="2"/>
    <x v="14"/>
    <n v="1"/>
    <n v="2"/>
    <x v="0"/>
    <x v="0"/>
    <s v="cl"/>
    <n v="0.02"/>
  </r>
  <r>
    <x v="1"/>
    <x v="10"/>
    <x v="2"/>
    <x v="1"/>
    <x v="2"/>
    <x v="14"/>
    <n v="1"/>
    <n v="2"/>
    <x v="0"/>
    <x v="0"/>
    <s v="m.dd.r"/>
    <n v="2.2000000000000002"/>
  </r>
  <r>
    <x v="1"/>
    <x v="4"/>
    <x v="2"/>
    <x v="1"/>
    <x v="2"/>
    <x v="14"/>
    <n v="1"/>
    <n v="2"/>
    <x v="0"/>
    <x v="0"/>
    <s v="m.rd.r"/>
    <n v="30"/>
  </r>
  <r>
    <x v="1"/>
    <x v="1"/>
    <x v="2"/>
    <x v="1"/>
    <x v="2"/>
    <x v="14"/>
    <n v="1"/>
    <n v="2"/>
    <x v="0"/>
    <x v="0"/>
    <s v="m.rem.mig"/>
    <n v="-30.18"/>
  </r>
  <r>
    <x v="1"/>
    <x v="11"/>
    <x v="2"/>
    <x v="1"/>
    <x v="2"/>
    <x v="14"/>
    <n v="1"/>
    <n v="2"/>
    <x v="0"/>
    <x v="0"/>
    <s v="tfr.1.2"/>
    <n v="-2"/>
  </r>
  <r>
    <x v="1"/>
    <x v="11"/>
    <x v="2"/>
    <x v="1"/>
    <x v="2"/>
    <x v="14"/>
    <n v="1"/>
    <n v="2"/>
    <x v="2"/>
    <x v="0"/>
    <s v="tfr.1.2"/>
    <n v="2"/>
  </r>
  <r>
    <x v="1"/>
    <x v="3"/>
    <x v="2"/>
    <x v="1"/>
    <x v="2"/>
    <x v="14"/>
    <n v="1"/>
    <n v="2"/>
    <x v="2"/>
    <x v="0"/>
    <s v="op"/>
    <n v="-2"/>
  </r>
  <r>
    <x v="1"/>
    <x v="0"/>
    <x v="2"/>
    <x v="1"/>
    <x v="2"/>
    <x v="14"/>
    <n v="1"/>
    <n v="2"/>
    <x v="0"/>
    <x v="1"/>
    <s v="cl"/>
    <n v="-1500"/>
  </r>
  <r>
    <x v="1"/>
    <x v="10"/>
    <x v="2"/>
    <x v="1"/>
    <x v="2"/>
    <x v="14"/>
    <n v="1"/>
    <n v="2"/>
    <x v="0"/>
    <x v="1"/>
    <s v="m.dd.r"/>
    <n v="-110"/>
  </r>
  <r>
    <x v="1"/>
    <x v="7"/>
    <x v="2"/>
    <x v="1"/>
    <x v="2"/>
    <x v="14"/>
    <n v="1"/>
    <n v="2"/>
    <x v="0"/>
    <x v="1"/>
    <s v="m.oth"/>
    <n v="10"/>
  </r>
  <r>
    <x v="1"/>
    <x v="4"/>
    <x v="2"/>
    <x v="1"/>
    <x v="2"/>
    <x v="14"/>
    <n v="1"/>
    <n v="2"/>
    <x v="0"/>
    <x v="1"/>
    <s v="m.rd.r"/>
    <n v="-1500"/>
  </r>
  <r>
    <x v="1"/>
    <x v="11"/>
    <x v="2"/>
    <x v="1"/>
    <x v="2"/>
    <x v="14"/>
    <n v="1"/>
    <n v="2"/>
    <x v="0"/>
    <x v="1"/>
    <s v="tfr.1.2"/>
    <n v="100"/>
  </r>
  <r>
    <x v="1"/>
    <x v="11"/>
    <x v="2"/>
    <x v="1"/>
    <x v="2"/>
    <x v="14"/>
    <n v="1"/>
    <n v="2"/>
    <x v="2"/>
    <x v="1"/>
    <s v="tfr.1.2"/>
    <n v="-100"/>
  </r>
  <r>
    <x v="1"/>
    <x v="3"/>
    <x v="2"/>
    <x v="1"/>
    <x v="2"/>
    <x v="14"/>
    <n v="1"/>
    <n v="2"/>
    <x v="2"/>
    <x v="1"/>
    <s v="op"/>
    <n v="100"/>
  </r>
  <r>
    <x v="1"/>
    <x v="5"/>
    <x v="3"/>
    <x v="1"/>
    <x v="3"/>
    <x v="14"/>
    <n v="2"/>
    <n v="2"/>
    <x v="0"/>
    <x v="0"/>
    <s v="m.rem"/>
    <n v="-0.02"/>
  </r>
  <r>
    <x v="1"/>
    <x v="3"/>
    <x v="3"/>
    <x v="1"/>
    <x v="3"/>
    <x v="14"/>
    <n v="2"/>
    <n v="2"/>
    <x v="0"/>
    <x v="0"/>
    <s v="op"/>
    <n v="0.02"/>
  </r>
  <r>
    <x v="1"/>
    <x v="4"/>
    <x v="3"/>
    <x v="1"/>
    <x v="3"/>
    <x v="14"/>
    <n v="2"/>
    <n v="2"/>
    <x v="0"/>
    <x v="1"/>
    <s v="m.rd.r"/>
    <n v="1500"/>
  </r>
  <r>
    <x v="1"/>
    <x v="3"/>
    <x v="3"/>
    <x v="1"/>
    <x v="3"/>
    <x v="14"/>
    <n v="2"/>
    <n v="2"/>
    <x v="0"/>
    <x v="1"/>
    <s v="op"/>
    <n v="-1500"/>
  </r>
  <r>
    <x v="1"/>
    <x v="0"/>
    <x v="2"/>
    <x v="1"/>
    <x v="2"/>
    <x v="15"/>
    <n v="1"/>
    <n v="1"/>
    <x v="2"/>
    <x v="0"/>
    <s v="cl"/>
    <n v="-9.5"/>
  </r>
  <r>
    <x v="1"/>
    <x v="14"/>
    <x v="2"/>
    <x v="1"/>
    <x v="2"/>
    <x v="15"/>
    <n v="1"/>
    <n v="1"/>
    <x v="2"/>
    <x v="0"/>
    <s v="m.dd.t"/>
    <n v="-9.5"/>
  </r>
  <r>
    <x v="1"/>
    <x v="0"/>
    <x v="2"/>
    <x v="1"/>
    <x v="2"/>
    <x v="15"/>
    <n v="1"/>
    <n v="1"/>
    <x v="2"/>
    <x v="1"/>
    <s v="cl"/>
    <n v="900"/>
  </r>
  <r>
    <x v="1"/>
    <x v="14"/>
    <x v="2"/>
    <x v="1"/>
    <x v="2"/>
    <x v="15"/>
    <n v="1"/>
    <n v="1"/>
    <x v="2"/>
    <x v="1"/>
    <s v="m.dd.t"/>
    <n v="950"/>
  </r>
  <r>
    <x v="1"/>
    <x v="7"/>
    <x v="2"/>
    <x v="1"/>
    <x v="2"/>
    <x v="15"/>
    <n v="1"/>
    <n v="1"/>
    <x v="2"/>
    <x v="1"/>
    <s v="m.oth"/>
    <n v="-50"/>
  </r>
  <r>
    <x v="1"/>
    <x v="8"/>
    <x v="3"/>
    <x v="1"/>
    <x v="3"/>
    <x v="15"/>
    <n v="1"/>
    <n v="1"/>
    <x v="2"/>
    <x v="0"/>
    <s v="m.rd.t.f"/>
    <n v="9.5"/>
  </r>
  <r>
    <x v="1"/>
    <x v="3"/>
    <x v="3"/>
    <x v="1"/>
    <x v="3"/>
    <x v="15"/>
    <n v="1"/>
    <n v="1"/>
    <x v="2"/>
    <x v="0"/>
    <s v="op"/>
    <n v="-9.5"/>
  </r>
  <r>
    <x v="1"/>
    <x v="7"/>
    <x v="3"/>
    <x v="1"/>
    <x v="3"/>
    <x v="15"/>
    <n v="1"/>
    <n v="1"/>
    <x v="2"/>
    <x v="1"/>
    <s v="m.oth"/>
    <n v="50"/>
  </r>
  <r>
    <x v="1"/>
    <x v="8"/>
    <x v="3"/>
    <x v="1"/>
    <x v="3"/>
    <x v="15"/>
    <n v="1"/>
    <n v="1"/>
    <x v="2"/>
    <x v="1"/>
    <s v="m.rd.t.f"/>
    <n v="-950"/>
  </r>
  <r>
    <x v="1"/>
    <x v="3"/>
    <x v="3"/>
    <x v="1"/>
    <x v="3"/>
    <x v="15"/>
    <n v="1"/>
    <n v="1"/>
    <x v="2"/>
    <x v="1"/>
    <s v="op"/>
    <n v="900"/>
  </r>
  <r>
    <x v="1"/>
    <x v="0"/>
    <x v="1"/>
    <x v="1"/>
    <x v="1"/>
    <x v="16"/>
    <n v="1"/>
    <n v="5"/>
    <x v="3"/>
    <x v="0"/>
    <s v="cl"/>
    <n v="-225"/>
  </r>
  <r>
    <x v="1"/>
    <x v="10"/>
    <x v="1"/>
    <x v="1"/>
    <x v="1"/>
    <x v="16"/>
    <n v="1"/>
    <n v="5"/>
    <x v="2"/>
    <x v="0"/>
    <s v="m.dd.r"/>
    <n v="-225"/>
  </r>
  <r>
    <x v="1"/>
    <x v="16"/>
    <x v="1"/>
    <x v="1"/>
    <x v="1"/>
    <x v="16"/>
    <n v="1"/>
    <n v="5"/>
    <x v="3"/>
    <x v="0"/>
    <s v="tfr.1.5"/>
    <n v="-225"/>
  </r>
  <r>
    <x v="1"/>
    <x v="16"/>
    <x v="1"/>
    <x v="1"/>
    <x v="1"/>
    <x v="16"/>
    <n v="1"/>
    <n v="5"/>
    <x v="2"/>
    <x v="0"/>
    <s v="tfr.1.5"/>
    <n v="225"/>
  </r>
  <r>
    <x v="1"/>
    <x v="0"/>
    <x v="1"/>
    <x v="1"/>
    <x v="1"/>
    <x v="16"/>
    <n v="1"/>
    <n v="5"/>
    <x v="3"/>
    <x v="1"/>
    <s v="cl"/>
    <n v="1000"/>
  </r>
  <r>
    <x v="1"/>
    <x v="10"/>
    <x v="1"/>
    <x v="1"/>
    <x v="1"/>
    <x v="16"/>
    <n v="1"/>
    <n v="5"/>
    <x v="2"/>
    <x v="1"/>
    <s v="m.dd.r"/>
    <n v="450"/>
  </r>
  <r>
    <x v="1"/>
    <x v="7"/>
    <x v="1"/>
    <x v="1"/>
    <x v="1"/>
    <x v="16"/>
    <n v="1"/>
    <n v="5"/>
    <x v="3"/>
    <x v="1"/>
    <s v="m.oth"/>
    <n v="550"/>
  </r>
  <r>
    <x v="1"/>
    <x v="16"/>
    <x v="1"/>
    <x v="1"/>
    <x v="1"/>
    <x v="16"/>
    <n v="1"/>
    <n v="5"/>
    <x v="3"/>
    <x v="1"/>
    <s v="tfr.1.5"/>
    <n v="450"/>
  </r>
  <r>
    <x v="1"/>
    <x v="16"/>
    <x v="1"/>
    <x v="1"/>
    <x v="1"/>
    <x v="16"/>
    <n v="1"/>
    <n v="5"/>
    <x v="2"/>
    <x v="1"/>
    <s v="tfr.1.5"/>
    <n v="-450"/>
  </r>
  <r>
    <x v="1"/>
    <x v="0"/>
    <x v="2"/>
    <x v="1"/>
    <x v="2"/>
    <x v="16"/>
    <n v="5"/>
    <n v="2"/>
    <x v="0"/>
    <x v="0"/>
    <s v="cl"/>
    <n v="-55"/>
  </r>
  <r>
    <x v="1"/>
    <x v="10"/>
    <x v="2"/>
    <x v="1"/>
    <x v="2"/>
    <x v="16"/>
    <n v="5"/>
    <n v="2"/>
    <x v="0"/>
    <x v="0"/>
    <s v="m.dd.r"/>
    <n v="-50"/>
  </r>
  <r>
    <x v="1"/>
    <x v="1"/>
    <x v="2"/>
    <x v="1"/>
    <x v="2"/>
    <x v="16"/>
    <n v="5"/>
    <n v="2"/>
    <x v="0"/>
    <x v="0"/>
    <s v="m.rem.mig"/>
    <n v="220"/>
  </r>
  <r>
    <x v="1"/>
    <x v="13"/>
    <x v="2"/>
    <x v="1"/>
    <x v="2"/>
    <x v="16"/>
    <n v="5"/>
    <n v="2"/>
    <x v="0"/>
    <x v="0"/>
    <s v="tfr.5.2"/>
    <n v="-225"/>
  </r>
  <r>
    <x v="1"/>
    <x v="13"/>
    <x v="2"/>
    <x v="1"/>
    <x v="2"/>
    <x v="16"/>
    <n v="5"/>
    <n v="2"/>
    <x v="3"/>
    <x v="0"/>
    <s v="tfr.5.2"/>
    <n v="225"/>
  </r>
  <r>
    <x v="1"/>
    <x v="3"/>
    <x v="2"/>
    <x v="1"/>
    <x v="2"/>
    <x v="16"/>
    <n v="5"/>
    <n v="2"/>
    <x v="3"/>
    <x v="0"/>
    <s v="op"/>
    <n v="-225"/>
  </r>
  <r>
    <x v="1"/>
    <x v="0"/>
    <x v="2"/>
    <x v="1"/>
    <x v="2"/>
    <x v="16"/>
    <n v="5"/>
    <n v="2"/>
    <x v="0"/>
    <x v="1"/>
    <s v="cl"/>
    <n v="500"/>
  </r>
  <r>
    <x v="1"/>
    <x v="10"/>
    <x v="2"/>
    <x v="1"/>
    <x v="2"/>
    <x v="16"/>
    <n v="5"/>
    <n v="2"/>
    <x v="0"/>
    <x v="1"/>
    <s v="m.dd.r"/>
    <n v="100"/>
  </r>
  <r>
    <x v="1"/>
    <x v="7"/>
    <x v="2"/>
    <x v="1"/>
    <x v="2"/>
    <x v="16"/>
    <n v="5"/>
    <n v="2"/>
    <x v="0"/>
    <x v="1"/>
    <s v="m.oth"/>
    <n v="-600"/>
  </r>
  <r>
    <x v="1"/>
    <x v="13"/>
    <x v="2"/>
    <x v="1"/>
    <x v="2"/>
    <x v="16"/>
    <n v="5"/>
    <n v="2"/>
    <x v="0"/>
    <x v="1"/>
    <s v="tfr.5.2"/>
    <n v="1000"/>
  </r>
  <r>
    <x v="1"/>
    <x v="13"/>
    <x v="2"/>
    <x v="1"/>
    <x v="2"/>
    <x v="16"/>
    <n v="5"/>
    <n v="2"/>
    <x v="3"/>
    <x v="1"/>
    <s v="tfr.5.2"/>
    <n v="-1000"/>
  </r>
  <r>
    <x v="1"/>
    <x v="3"/>
    <x v="2"/>
    <x v="1"/>
    <x v="2"/>
    <x v="16"/>
    <n v="5"/>
    <n v="2"/>
    <x v="3"/>
    <x v="1"/>
    <s v="op"/>
    <n v="1000"/>
  </r>
  <r>
    <x v="1"/>
    <x v="10"/>
    <x v="3"/>
    <x v="1"/>
    <x v="3"/>
    <x v="16"/>
    <n v="2"/>
    <n v="2"/>
    <x v="0"/>
    <x v="0"/>
    <s v="m.dd.r"/>
    <n v="55"/>
  </r>
  <r>
    <x v="1"/>
    <x v="3"/>
    <x v="3"/>
    <x v="1"/>
    <x v="3"/>
    <x v="16"/>
    <n v="2"/>
    <n v="2"/>
    <x v="0"/>
    <x v="0"/>
    <s v="op"/>
    <n v="-55"/>
  </r>
  <r>
    <x v="1"/>
    <x v="10"/>
    <x v="3"/>
    <x v="1"/>
    <x v="3"/>
    <x v="16"/>
    <n v="2"/>
    <n v="2"/>
    <x v="0"/>
    <x v="1"/>
    <s v="m.dd.r"/>
    <n v="-550"/>
  </r>
  <r>
    <x v="1"/>
    <x v="7"/>
    <x v="3"/>
    <x v="1"/>
    <x v="3"/>
    <x v="16"/>
    <n v="2"/>
    <n v="2"/>
    <x v="0"/>
    <x v="1"/>
    <s v="m.oth"/>
    <n v="50"/>
  </r>
  <r>
    <x v="1"/>
    <x v="3"/>
    <x v="3"/>
    <x v="1"/>
    <x v="3"/>
    <x v="16"/>
    <n v="2"/>
    <n v="2"/>
    <x v="0"/>
    <x v="1"/>
    <s v="op"/>
    <n v="500"/>
  </r>
  <r>
    <x v="1"/>
    <x v="0"/>
    <x v="1"/>
    <x v="1"/>
    <x v="1"/>
    <x v="17"/>
    <n v="1"/>
    <n v="5"/>
    <x v="3"/>
    <x v="0"/>
    <s v="cl"/>
    <n v="-500"/>
  </r>
  <r>
    <x v="1"/>
    <x v="14"/>
    <x v="1"/>
    <x v="1"/>
    <x v="1"/>
    <x v="17"/>
    <n v="1"/>
    <n v="5"/>
    <x v="2"/>
    <x v="0"/>
    <s v="m.dd.t"/>
    <n v="-500"/>
  </r>
  <r>
    <x v="1"/>
    <x v="16"/>
    <x v="1"/>
    <x v="1"/>
    <x v="1"/>
    <x v="17"/>
    <n v="1"/>
    <n v="5"/>
    <x v="3"/>
    <x v="0"/>
    <s v="tfr.1.5"/>
    <n v="-500"/>
  </r>
  <r>
    <x v="1"/>
    <x v="16"/>
    <x v="1"/>
    <x v="1"/>
    <x v="1"/>
    <x v="17"/>
    <n v="1"/>
    <n v="5"/>
    <x v="2"/>
    <x v="0"/>
    <s v="tfr.1.5"/>
    <n v="500"/>
  </r>
  <r>
    <x v="1"/>
    <x v="0"/>
    <x v="1"/>
    <x v="1"/>
    <x v="1"/>
    <x v="17"/>
    <n v="1"/>
    <n v="5"/>
    <x v="3"/>
    <x v="1"/>
    <s v="cl"/>
    <n v="1000"/>
  </r>
  <r>
    <x v="1"/>
    <x v="14"/>
    <x v="1"/>
    <x v="1"/>
    <x v="1"/>
    <x v="17"/>
    <n v="1"/>
    <n v="5"/>
    <x v="2"/>
    <x v="1"/>
    <s v="m.dd.t"/>
    <n v="1000"/>
  </r>
  <r>
    <x v="1"/>
    <x v="16"/>
    <x v="1"/>
    <x v="1"/>
    <x v="1"/>
    <x v="17"/>
    <n v="1"/>
    <n v="5"/>
    <x v="3"/>
    <x v="1"/>
    <s v="tfr.1.5"/>
    <n v="1000"/>
  </r>
  <r>
    <x v="1"/>
    <x v="16"/>
    <x v="1"/>
    <x v="1"/>
    <x v="1"/>
    <x v="17"/>
    <n v="1"/>
    <n v="5"/>
    <x v="2"/>
    <x v="1"/>
    <s v="tfr.1.5"/>
    <n v="-1000"/>
  </r>
  <r>
    <x v="1"/>
    <x v="0"/>
    <x v="2"/>
    <x v="1"/>
    <x v="2"/>
    <x v="17"/>
    <n v="5"/>
    <n v="2"/>
    <x v="0"/>
    <x v="0"/>
    <s v="cl"/>
    <n v="-110"/>
  </r>
  <r>
    <x v="1"/>
    <x v="9"/>
    <x v="2"/>
    <x v="1"/>
    <x v="2"/>
    <x v="17"/>
    <n v="5"/>
    <n v="2"/>
    <x v="3"/>
    <x v="0"/>
    <s v="m.rd.t"/>
    <n v="225"/>
  </r>
  <r>
    <x v="1"/>
    <x v="1"/>
    <x v="2"/>
    <x v="1"/>
    <x v="2"/>
    <x v="17"/>
    <n v="5"/>
    <n v="2"/>
    <x v="0"/>
    <x v="0"/>
    <s v="m.rem.mig"/>
    <n v="165"/>
  </r>
  <r>
    <x v="1"/>
    <x v="13"/>
    <x v="2"/>
    <x v="1"/>
    <x v="2"/>
    <x v="17"/>
    <n v="5"/>
    <n v="2"/>
    <x v="0"/>
    <x v="0"/>
    <s v="tfr.5.2"/>
    <n v="-275"/>
  </r>
  <r>
    <x v="1"/>
    <x v="13"/>
    <x v="2"/>
    <x v="1"/>
    <x v="2"/>
    <x v="17"/>
    <n v="5"/>
    <n v="2"/>
    <x v="3"/>
    <x v="0"/>
    <s v="tfr.5.2"/>
    <n v="275"/>
  </r>
  <r>
    <x v="1"/>
    <x v="3"/>
    <x v="2"/>
    <x v="1"/>
    <x v="2"/>
    <x v="17"/>
    <n v="5"/>
    <n v="2"/>
    <x v="3"/>
    <x v="0"/>
    <s v="op"/>
    <n v="-500"/>
  </r>
  <r>
    <x v="1"/>
    <x v="0"/>
    <x v="2"/>
    <x v="1"/>
    <x v="2"/>
    <x v="17"/>
    <n v="5"/>
    <n v="2"/>
    <x v="0"/>
    <x v="1"/>
    <s v="cl"/>
    <n v="500"/>
  </r>
  <r>
    <x v="1"/>
    <x v="7"/>
    <x v="2"/>
    <x v="1"/>
    <x v="2"/>
    <x v="17"/>
    <n v="5"/>
    <n v="2"/>
    <x v="0"/>
    <x v="1"/>
    <s v="m.oth"/>
    <n v="-50"/>
  </r>
  <r>
    <x v="1"/>
    <x v="9"/>
    <x v="2"/>
    <x v="1"/>
    <x v="2"/>
    <x v="17"/>
    <n v="5"/>
    <n v="2"/>
    <x v="3"/>
    <x v="1"/>
    <s v="m.rd.t"/>
    <n v="-450"/>
  </r>
  <r>
    <x v="1"/>
    <x v="13"/>
    <x v="2"/>
    <x v="1"/>
    <x v="2"/>
    <x v="17"/>
    <n v="5"/>
    <n v="2"/>
    <x v="0"/>
    <x v="1"/>
    <s v="tfr.5.2"/>
    <n v="550"/>
  </r>
  <r>
    <x v="1"/>
    <x v="13"/>
    <x v="2"/>
    <x v="1"/>
    <x v="2"/>
    <x v="17"/>
    <n v="5"/>
    <n v="2"/>
    <x v="3"/>
    <x v="1"/>
    <s v="tfr.5.2"/>
    <n v="-550"/>
  </r>
  <r>
    <x v="1"/>
    <x v="3"/>
    <x v="2"/>
    <x v="1"/>
    <x v="2"/>
    <x v="17"/>
    <n v="5"/>
    <n v="2"/>
    <x v="3"/>
    <x v="1"/>
    <s v="op"/>
    <n v="1000"/>
  </r>
  <r>
    <x v="1"/>
    <x v="8"/>
    <x v="3"/>
    <x v="1"/>
    <x v="3"/>
    <x v="17"/>
    <n v="2"/>
    <n v="2"/>
    <x v="0"/>
    <x v="0"/>
    <s v="m.rd.t.f"/>
    <n v="110"/>
  </r>
  <r>
    <x v="1"/>
    <x v="3"/>
    <x v="3"/>
    <x v="1"/>
    <x v="3"/>
    <x v="17"/>
    <n v="2"/>
    <n v="2"/>
    <x v="0"/>
    <x v="0"/>
    <s v="op"/>
    <n v="-110"/>
  </r>
  <r>
    <x v="1"/>
    <x v="7"/>
    <x v="3"/>
    <x v="1"/>
    <x v="3"/>
    <x v="17"/>
    <n v="2"/>
    <n v="2"/>
    <x v="0"/>
    <x v="1"/>
    <s v="m.oth"/>
    <n v="50"/>
  </r>
  <r>
    <x v="1"/>
    <x v="8"/>
    <x v="3"/>
    <x v="1"/>
    <x v="3"/>
    <x v="17"/>
    <n v="2"/>
    <n v="2"/>
    <x v="0"/>
    <x v="1"/>
    <s v="m.rd.t.f"/>
    <n v="-550"/>
  </r>
  <r>
    <x v="1"/>
    <x v="3"/>
    <x v="3"/>
    <x v="1"/>
    <x v="3"/>
    <x v="17"/>
    <n v="2"/>
    <n v="2"/>
    <x v="0"/>
    <x v="1"/>
    <s v="op"/>
    <n v="500"/>
  </r>
  <r>
    <x v="1"/>
    <x v="0"/>
    <x v="1"/>
    <x v="1"/>
    <x v="1"/>
    <x v="18"/>
    <n v="1"/>
    <n v="3"/>
    <x v="1"/>
    <x v="0"/>
    <s v="cl"/>
    <n v="0.02"/>
  </r>
  <r>
    <x v="1"/>
    <x v="1"/>
    <x v="1"/>
    <x v="1"/>
    <x v="1"/>
    <x v="18"/>
    <n v="1"/>
    <n v="3"/>
    <x v="1"/>
    <x v="0"/>
    <s v="m.rem.mig"/>
    <n v="0.02"/>
  </r>
  <r>
    <x v="1"/>
    <x v="0"/>
    <x v="1"/>
    <x v="1"/>
    <x v="1"/>
    <x v="18"/>
    <n v="1"/>
    <n v="3"/>
    <x v="1"/>
    <x v="1"/>
    <s v="cl"/>
    <n v="1250"/>
  </r>
  <r>
    <x v="1"/>
    <x v="10"/>
    <x v="1"/>
    <x v="1"/>
    <x v="1"/>
    <x v="18"/>
    <n v="1"/>
    <n v="3"/>
    <x v="2"/>
    <x v="1"/>
    <s v="m.dd.r"/>
    <n v="1250"/>
  </r>
  <r>
    <x v="1"/>
    <x v="15"/>
    <x v="1"/>
    <x v="1"/>
    <x v="1"/>
    <x v="18"/>
    <n v="1"/>
    <n v="3"/>
    <x v="1"/>
    <x v="1"/>
    <s v="tfr.1.3"/>
    <n v="1250"/>
  </r>
  <r>
    <x v="1"/>
    <x v="15"/>
    <x v="1"/>
    <x v="1"/>
    <x v="1"/>
    <x v="18"/>
    <n v="1"/>
    <n v="3"/>
    <x v="2"/>
    <x v="1"/>
    <s v="tfr.1.3"/>
    <n v="-1250"/>
  </r>
  <r>
    <x v="1"/>
    <x v="0"/>
    <x v="2"/>
    <x v="1"/>
    <x v="2"/>
    <x v="18"/>
    <n v="3"/>
    <n v="3"/>
    <x v="1"/>
    <x v="0"/>
    <s v="cl"/>
    <n v="0.02"/>
  </r>
  <r>
    <x v="1"/>
    <x v="3"/>
    <x v="2"/>
    <x v="1"/>
    <x v="2"/>
    <x v="18"/>
    <n v="3"/>
    <n v="3"/>
    <x v="1"/>
    <x v="0"/>
    <s v="op"/>
    <n v="0.02"/>
  </r>
  <r>
    <x v="1"/>
    <x v="0"/>
    <x v="2"/>
    <x v="1"/>
    <x v="2"/>
    <x v="18"/>
    <n v="3"/>
    <n v="3"/>
    <x v="1"/>
    <x v="1"/>
    <s v="cl"/>
    <n v="1000"/>
  </r>
  <r>
    <x v="1"/>
    <x v="10"/>
    <x v="2"/>
    <x v="1"/>
    <x v="2"/>
    <x v="18"/>
    <n v="3"/>
    <n v="3"/>
    <x v="1"/>
    <x v="1"/>
    <s v="m.dd.r"/>
    <n v="-250"/>
  </r>
  <r>
    <x v="1"/>
    <x v="3"/>
    <x v="2"/>
    <x v="1"/>
    <x v="2"/>
    <x v="18"/>
    <n v="3"/>
    <n v="3"/>
    <x v="1"/>
    <x v="1"/>
    <s v="op"/>
    <n v="1250"/>
  </r>
  <r>
    <x v="1"/>
    <x v="5"/>
    <x v="3"/>
    <x v="1"/>
    <x v="3"/>
    <x v="18"/>
    <n v="3"/>
    <n v="3"/>
    <x v="1"/>
    <x v="0"/>
    <s v="m.rem"/>
    <n v="-0.02"/>
  </r>
  <r>
    <x v="1"/>
    <x v="3"/>
    <x v="3"/>
    <x v="1"/>
    <x v="3"/>
    <x v="18"/>
    <n v="3"/>
    <n v="3"/>
    <x v="1"/>
    <x v="0"/>
    <s v="op"/>
    <n v="0.02"/>
  </r>
  <r>
    <x v="1"/>
    <x v="10"/>
    <x v="3"/>
    <x v="1"/>
    <x v="3"/>
    <x v="18"/>
    <n v="3"/>
    <n v="3"/>
    <x v="1"/>
    <x v="1"/>
    <s v="m.dd.r"/>
    <n v="-1000"/>
  </r>
  <r>
    <x v="1"/>
    <x v="3"/>
    <x v="3"/>
    <x v="1"/>
    <x v="3"/>
    <x v="18"/>
    <n v="3"/>
    <n v="3"/>
    <x v="1"/>
    <x v="1"/>
    <s v="op"/>
    <n v="1000"/>
  </r>
  <r>
    <x v="1"/>
    <x v="0"/>
    <x v="1"/>
    <x v="1"/>
    <x v="1"/>
    <x v="19"/>
    <n v="1"/>
    <n v="1"/>
    <x v="2"/>
    <x v="0"/>
    <s v="cl"/>
    <n v="2"/>
  </r>
  <r>
    <x v="1"/>
    <x v="5"/>
    <x v="1"/>
    <x v="1"/>
    <x v="1"/>
    <x v="19"/>
    <n v="1"/>
    <n v="1"/>
    <x v="2"/>
    <x v="0"/>
    <s v="m.rem"/>
    <n v="2"/>
  </r>
  <r>
    <x v="1"/>
    <x v="0"/>
    <x v="1"/>
    <x v="1"/>
    <x v="1"/>
    <x v="19"/>
    <n v="1"/>
    <n v="1"/>
    <x v="2"/>
    <x v="1"/>
    <s v="cl"/>
    <n v="0.01"/>
  </r>
  <r>
    <x v="1"/>
    <x v="14"/>
    <x v="1"/>
    <x v="1"/>
    <x v="1"/>
    <x v="19"/>
    <n v="1"/>
    <n v="1"/>
    <x v="2"/>
    <x v="1"/>
    <s v="m.dd.t"/>
    <n v="0.01"/>
  </r>
  <r>
    <x v="1"/>
    <x v="0"/>
    <x v="2"/>
    <x v="1"/>
    <x v="2"/>
    <x v="19"/>
    <n v="1"/>
    <n v="1"/>
    <x v="2"/>
    <x v="0"/>
    <s v="cl"/>
    <n v="1"/>
  </r>
  <r>
    <x v="1"/>
    <x v="5"/>
    <x v="2"/>
    <x v="1"/>
    <x v="2"/>
    <x v="19"/>
    <n v="1"/>
    <n v="1"/>
    <x v="2"/>
    <x v="0"/>
    <s v="m.rem"/>
    <n v="-1"/>
  </r>
  <r>
    <x v="1"/>
    <x v="3"/>
    <x v="2"/>
    <x v="1"/>
    <x v="2"/>
    <x v="19"/>
    <n v="1"/>
    <n v="1"/>
    <x v="2"/>
    <x v="0"/>
    <s v="op"/>
    <n v="2"/>
  </r>
  <r>
    <x v="1"/>
    <x v="0"/>
    <x v="2"/>
    <x v="1"/>
    <x v="2"/>
    <x v="19"/>
    <n v="1"/>
    <n v="1"/>
    <x v="2"/>
    <x v="1"/>
    <s v="cl"/>
    <n v="5"/>
  </r>
  <r>
    <x v="1"/>
    <x v="14"/>
    <x v="2"/>
    <x v="1"/>
    <x v="2"/>
    <x v="19"/>
    <n v="1"/>
    <n v="1"/>
    <x v="2"/>
    <x v="1"/>
    <s v="m.dd.t"/>
    <n v="4.99"/>
  </r>
  <r>
    <x v="1"/>
    <x v="3"/>
    <x v="2"/>
    <x v="1"/>
    <x v="2"/>
    <x v="19"/>
    <n v="1"/>
    <n v="1"/>
    <x v="2"/>
    <x v="1"/>
    <s v="op"/>
    <n v="0.01"/>
  </r>
  <r>
    <x v="1"/>
    <x v="5"/>
    <x v="3"/>
    <x v="1"/>
    <x v="3"/>
    <x v="19"/>
    <n v="1"/>
    <n v="1"/>
    <x v="2"/>
    <x v="0"/>
    <s v="m.rem"/>
    <n v="-1"/>
  </r>
  <r>
    <x v="1"/>
    <x v="3"/>
    <x v="3"/>
    <x v="1"/>
    <x v="3"/>
    <x v="19"/>
    <n v="1"/>
    <n v="1"/>
    <x v="2"/>
    <x v="0"/>
    <s v="op"/>
    <n v="1"/>
  </r>
  <r>
    <x v="1"/>
    <x v="8"/>
    <x v="3"/>
    <x v="1"/>
    <x v="3"/>
    <x v="19"/>
    <n v="1"/>
    <n v="1"/>
    <x v="2"/>
    <x v="1"/>
    <s v="m.rd.t.f"/>
    <n v="-5"/>
  </r>
  <r>
    <x v="1"/>
    <x v="3"/>
    <x v="3"/>
    <x v="1"/>
    <x v="3"/>
    <x v="19"/>
    <n v="1"/>
    <n v="1"/>
    <x v="2"/>
    <x v="1"/>
    <s v="op"/>
    <n v="5"/>
  </r>
  <r>
    <x v="0"/>
    <x v="0"/>
    <x v="0"/>
    <x v="0"/>
    <x v="0"/>
    <x v="20"/>
    <s v="NA"/>
    <n v="1"/>
    <x v="2"/>
    <x v="0"/>
    <s v="cl"/>
    <n v="100"/>
  </r>
  <r>
    <x v="0"/>
    <x v="0"/>
    <x v="0"/>
    <x v="0"/>
    <x v="0"/>
    <x v="20"/>
    <s v="NA"/>
    <n v="1"/>
    <x v="2"/>
    <x v="1"/>
    <s v="cl"/>
    <n v="1000"/>
  </r>
  <r>
    <x v="1"/>
    <x v="0"/>
    <x v="1"/>
    <x v="1"/>
    <x v="1"/>
    <x v="20"/>
    <n v="1"/>
    <n v="1"/>
    <x v="2"/>
    <x v="0"/>
    <s v="cl"/>
    <n v="120"/>
  </r>
  <r>
    <x v="1"/>
    <x v="5"/>
    <x v="1"/>
    <x v="1"/>
    <x v="1"/>
    <x v="20"/>
    <n v="1"/>
    <n v="1"/>
    <x v="2"/>
    <x v="0"/>
    <s v="m.rem"/>
    <n v="20"/>
  </r>
  <r>
    <x v="1"/>
    <x v="3"/>
    <x v="1"/>
    <x v="1"/>
    <x v="1"/>
    <x v="20"/>
    <n v="1"/>
    <n v="1"/>
    <x v="2"/>
    <x v="0"/>
    <s v="op"/>
    <n v="100"/>
  </r>
  <r>
    <x v="1"/>
    <x v="0"/>
    <x v="1"/>
    <x v="1"/>
    <x v="1"/>
    <x v="20"/>
    <n v="1"/>
    <n v="1"/>
    <x v="2"/>
    <x v="1"/>
    <s v="cl"/>
    <n v="1200"/>
  </r>
  <r>
    <x v="1"/>
    <x v="10"/>
    <x v="1"/>
    <x v="1"/>
    <x v="1"/>
    <x v="20"/>
    <n v="1"/>
    <n v="1"/>
    <x v="2"/>
    <x v="1"/>
    <s v="m.dd.r"/>
    <n v="200"/>
  </r>
  <r>
    <x v="1"/>
    <x v="3"/>
    <x v="1"/>
    <x v="1"/>
    <x v="1"/>
    <x v="20"/>
    <n v="1"/>
    <n v="1"/>
    <x v="2"/>
    <x v="1"/>
    <s v="op"/>
    <n v="1000"/>
  </r>
  <r>
    <x v="1"/>
    <x v="0"/>
    <x v="2"/>
    <x v="1"/>
    <x v="2"/>
    <x v="20"/>
    <n v="1"/>
    <n v="2"/>
    <x v="0"/>
    <x v="0"/>
    <s v="cl"/>
    <n v="260"/>
  </r>
  <r>
    <x v="1"/>
    <x v="1"/>
    <x v="2"/>
    <x v="1"/>
    <x v="2"/>
    <x v="20"/>
    <n v="1"/>
    <n v="2"/>
    <x v="0"/>
    <x v="0"/>
    <s v="m.rem.mig"/>
    <n v="140"/>
  </r>
  <r>
    <x v="1"/>
    <x v="11"/>
    <x v="2"/>
    <x v="1"/>
    <x v="2"/>
    <x v="20"/>
    <n v="1"/>
    <n v="2"/>
    <x v="0"/>
    <x v="0"/>
    <s v="tfr.1.2"/>
    <n v="120"/>
  </r>
  <r>
    <x v="1"/>
    <x v="11"/>
    <x v="2"/>
    <x v="1"/>
    <x v="2"/>
    <x v="20"/>
    <n v="1"/>
    <n v="2"/>
    <x v="2"/>
    <x v="0"/>
    <s v="tfr.1.2"/>
    <n v="-120"/>
  </r>
  <r>
    <x v="1"/>
    <x v="3"/>
    <x v="2"/>
    <x v="1"/>
    <x v="2"/>
    <x v="20"/>
    <n v="1"/>
    <n v="2"/>
    <x v="2"/>
    <x v="0"/>
    <s v="op"/>
    <n v="120"/>
  </r>
  <r>
    <x v="1"/>
    <x v="0"/>
    <x v="2"/>
    <x v="1"/>
    <x v="2"/>
    <x v="20"/>
    <n v="1"/>
    <n v="2"/>
    <x v="0"/>
    <x v="1"/>
    <s v="cl"/>
    <n v="1300"/>
  </r>
  <r>
    <x v="1"/>
    <x v="10"/>
    <x v="2"/>
    <x v="1"/>
    <x v="2"/>
    <x v="20"/>
    <n v="1"/>
    <n v="2"/>
    <x v="2"/>
    <x v="1"/>
    <s v="m.dd.r"/>
    <n v="100"/>
  </r>
  <r>
    <x v="1"/>
    <x v="11"/>
    <x v="2"/>
    <x v="1"/>
    <x v="2"/>
    <x v="20"/>
    <n v="1"/>
    <n v="2"/>
    <x v="0"/>
    <x v="1"/>
    <s v="tfr.1.2"/>
    <n v="1300"/>
  </r>
  <r>
    <x v="1"/>
    <x v="11"/>
    <x v="2"/>
    <x v="1"/>
    <x v="2"/>
    <x v="20"/>
    <n v="1"/>
    <n v="2"/>
    <x v="2"/>
    <x v="1"/>
    <s v="tfr.1.2"/>
    <n v="-1300"/>
  </r>
  <r>
    <x v="1"/>
    <x v="3"/>
    <x v="2"/>
    <x v="1"/>
    <x v="2"/>
    <x v="20"/>
    <n v="1"/>
    <n v="2"/>
    <x v="2"/>
    <x v="1"/>
    <s v="op"/>
    <n v="1200"/>
  </r>
  <r>
    <x v="1"/>
    <x v="0"/>
    <x v="3"/>
    <x v="1"/>
    <x v="3"/>
    <x v="20"/>
    <n v="2"/>
    <n v="2"/>
    <x v="0"/>
    <x v="0"/>
    <s v="cl"/>
    <n v="220"/>
  </r>
  <r>
    <x v="1"/>
    <x v="5"/>
    <x v="3"/>
    <x v="1"/>
    <x v="3"/>
    <x v="20"/>
    <n v="2"/>
    <n v="2"/>
    <x v="0"/>
    <x v="0"/>
    <s v="m.rem"/>
    <n v="-40"/>
  </r>
  <r>
    <x v="1"/>
    <x v="3"/>
    <x v="3"/>
    <x v="1"/>
    <x v="3"/>
    <x v="20"/>
    <n v="2"/>
    <n v="2"/>
    <x v="0"/>
    <x v="0"/>
    <s v="op"/>
    <n v="260"/>
  </r>
  <r>
    <x v="1"/>
    <x v="0"/>
    <x v="3"/>
    <x v="1"/>
    <x v="3"/>
    <x v="20"/>
    <n v="2"/>
    <n v="2"/>
    <x v="0"/>
    <x v="1"/>
    <s v="cl"/>
    <n v="1100"/>
  </r>
  <r>
    <x v="1"/>
    <x v="10"/>
    <x v="3"/>
    <x v="1"/>
    <x v="3"/>
    <x v="20"/>
    <n v="2"/>
    <n v="2"/>
    <x v="0"/>
    <x v="1"/>
    <s v="m.dd.r"/>
    <n v="-200"/>
  </r>
  <r>
    <x v="1"/>
    <x v="3"/>
    <x v="3"/>
    <x v="1"/>
    <x v="3"/>
    <x v="20"/>
    <n v="2"/>
    <n v="2"/>
    <x v="0"/>
    <x v="1"/>
    <s v="op"/>
    <n v="1300"/>
  </r>
  <r>
    <x v="1"/>
    <x v="0"/>
    <x v="4"/>
    <x v="1"/>
    <x v="4"/>
    <x v="20"/>
    <n v="2"/>
    <n v="3"/>
    <x v="1"/>
    <x v="0"/>
    <s v="cl"/>
    <n v="270"/>
  </r>
  <r>
    <x v="1"/>
    <x v="1"/>
    <x v="4"/>
    <x v="1"/>
    <x v="4"/>
    <x v="20"/>
    <n v="2"/>
    <n v="3"/>
    <x v="1"/>
    <x v="0"/>
    <s v="m.rem.mig"/>
    <n v="50"/>
  </r>
  <r>
    <x v="1"/>
    <x v="2"/>
    <x v="4"/>
    <x v="1"/>
    <x v="4"/>
    <x v="20"/>
    <n v="2"/>
    <n v="3"/>
    <x v="1"/>
    <x v="0"/>
    <s v="tfr.2.3"/>
    <n v="220"/>
  </r>
  <r>
    <x v="1"/>
    <x v="2"/>
    <x v="4"/>
    <x v="1"/>
    <x v="4"/>
    <x v="20"/>
    <n v="2"/>
    <n v="3"/>
    <x v="0"/>
    <x v="0"/>
    <s v="tfr.2.3"/>
    <n v="-220"/>
  </r>
  <r>
    <x v="1"/>
    <x v="3"/>
    <x v="4"/>
    <x v="1"/>
    <x v="4"/>
    <x v="20"/>
    <n v="2"/>
    <n v="3"/>
    <x v="0"/>
    <x v="0"/>
    <s v="op"/>
    <n v="220"/>
  </r>
  <r>
    <x v="1"/>
    <x v="0"/>
    <x v="4"/>
    <x v="1"/>
    <x v="4"/>
    <x v="20"/>
    <n v="2"/>
    <n v="3"/>
    <x v="1"/>
    <x v="1"/>
    <s v="cl"/>
    <n v="900"/>
  </r>
  <r>
    <x v="1"/>
    <x v="10"/>
    <x v="4"/>
    <x v="1"/>
    <x v="4"/>
    <x v="20"/>
    <n v="2"/>
    <n v="3"/>
    <x v="1"/>
    <x v="1"/>
    <s v="m.dd.r"/>
    <n v="-100"/>
  </r>
  <r>
    <x v="1"/>
    <x v="4"/>
    <x v="4"/>
    <x v="1"/>
    <x v="4"/>
    <x v="20"/>
    <n v="2"/>
    <n v="3"/>
    <x v="1"/>
    <x v="1"/>
    <s v="m.rd.r"/>
    <n v="-100"/>
  </r>
  <r>
    <x v="1"/>
    <x v="2"/>
    <x v="4"/>
    <x v="1"/>
    <x v="4"/>
    <x v="20"/>
    <n v="2"/>
    <n v="3"/>
    <x v="1"/>
    <x v="1"/>
    <s v="tfr.2.3"/>
    <n v="1100"/>
  </r>
  <r>
    <x v="1"/>
    <x v="2"/>
    <x v="4"/>
    <x v="1"/>
    <x v="4"/>
    <x v="20"/>
    <n v="2"/>
    <n v="3"/>
    <x v="0"/>
    <x v="1"/>
    <s v="tfr.2.3"/>
    <n v="-1100"/>
  </r>
  <r>
    <x v="1"/>
    <x v="3"/>
    <x v="4"/>
    <x v="1"/>
    <x v="4"/>
    <x v="20"/>
    <n v="2"/>
    <n v="3"/>
    <x v="0"/>
    <x v="1"/>
    <s v="op"/>
    <n v="1100"/>
  </r>
  <r>
    <x v="1"/>
    <x v="0"/>
    <x v="5"/>
    <x v="1"/>
    <x v="5"/>
    <x v="20"/>
    <n v="3"/>
    <n v="3"/>
    <x v="1"/>
    <x v="0"/>
    <s v="cl"/>
    <n v="240"/>
  </r>
  <r>
    <x v="1"/>
    <x v="5"/>
    <x v="5"/>
    <x v="1"/>
    <x v="5"/>
    <x v="20"/>
    <n v="3"/>
    <n v="3"/>
    <x v="1"/>
    <x v="0"/>
    <s v="m.rem"/>
    <n v="-30"/>
  </r>
  <r>
    <x v="1"/>
    <x v="3"/>
    <x v="5"/>
    <x v="1"/>
    <x v="5"/>
    <x v="20"/>
    <n v="3"/>
    <n v="3"/>
    <x v="1"/>
    <x v="0"/>
    <s v="op"/>
    <n v="270"/>
  </r>
  <r>
    <x v="1"/>
    <x v="0"/>
    <x v="5"/>
    <x v="1"/>
    <x v="5"/>
    <x v="20"/>
    <n v="3"/>
    <n v="3"/>
    <x v="1"/>
    <x v="1"/>
    <s v="cl"/>
    <n v="800"/>
  </r>
  <r>
    <x v="1"/>
    <x v="4"/>
    <x v="5"/>
    <x v="1"/>
    <x v="5"/>
    <x v="20"/>
    <n v="3"/>
    <n v="3"/>
    <x v="1"/>
    <x v="1"/>
    <s v="m.rd.r"/>
    <n v="-100"/>
  </r>
  <r>
    <x v="1"/>
    <x v="3"/>
    <x v="5"/>
    <x v="1"/>
    <x v="5"/>
    <x v="20"/>
    <n v="3"/>
    <n v="3"/>
    <x v="1"/>
    <x v="1"/>
    <s v="op"/>
    <n v="900"/>
  </r>
  <r>
    <x v="1"/>
    <x v="0"/>
    <x v="6"/>
    <x v="1"/>
    <x v="6"/>
    <x v="20"/>
    <n v="3"/>
    <n v="3"/>
    <x v="1"/>
    <x v="0"/>
    <s v="cl"/>
    <n v="330"/>
  </r>
  <r>
    <x v="1"/>
    <x v="5"/>
    <x v="6"/>
    <x v="1"/>
    <x v="6"/>
    <x v="20"/>
    <n v="3"/>
    <n v="3"/>
    <x v="1"/>
    <x v="0"/>
    <s v="m.rem"/>
    <n v="90"/>
  </r>
  <r>
    <x v="1"/>
    <x v="3"/>
    <x v="6"/>
    <x v="1"/>
    <x v="6"/>
    <x v="20"/>
    <n v="3"/>
    <n v="3"/>
    <x v="1"/>
    <x v="0"/>
    <s v="op"/>
    <n v="240"/>
  </r>
  <r>
    <x v="1"/>
    <x v="0"/>
    <x v="6"/>
    <x v="1"/>
    <x v="6"/>
    <x v="20"/>
    <n v="3"/>
    <n v="3"/>
    <x v="1"/>
    <x v="1"/>
    <s v="cl"/>
    <n v="1100"/>
  </r>
  <r>
    <x v="1"/>
    <x v="10"/>
    <x v="6"/>
    <x v="1"/>
    <x v="6"/>
    <x v="20"/>
    <n v="3"/>
    <n v="3"/>
    <x v="1"/>
    <x v="1"/>
    <s v="m.dd.r"/>
    <n v="100"/>
  </r>
  <r>
    <x v="1"/>
    <x v="4"/>
    <x v="6"/>
    <x v="1"/>
    <x v="6"/>
    <x v="20"/>
    <n v="3"/>
    <n v="3"/>
    <x v="1"/>
    <x v="1"/>
    <s v="m.rd.r"/>
    <n v="200"/>
  </r>
  <r>
    <x v="1"/>
    <x v="3"/>
    <x v="6"/>
    <x v="1"/>
    <x v="6"/>
    <x v="20"/>
    <n v="3"/>
    <n v="3"/>
    <x v="1"/>
    <x v="1"/>
    <s v="op"/>
    <n v="800"/>
  </r>
  <r>
    <x v="1"/>
    <x v="0"/>
    <x v="7"/>
    <x v="1"/>
    <x v="7"/>
    <x v="20"/>
    <n v="3"/>
    <n v="2"/>
    <x v="0"/>
    <x v="0"/>
    <s v="cl"/>
    <n v="180"/>
  </r>
  <r>
    <x v="1"/>
    <x v="1"/>
    <x v="7"/>
    <x v="1"/>
    <x v="7"/>
    <x v="20"/>
    <n v="3"/>
    <n v="2"/>
    <x v="0"/>
    <x v="0"/>
    <s v="m.rem.mig"/>
    <n v="-150"/>
  </r>
  <r>
    <x v="1"/>
    <x v="17"/>
    <x v="7"/>
    <x v="1"/>
    <x v="7"/>
    <x v="20"/>
    <n v="3"/>
    <n v="2"/>
    <x v="0"/>
    <x v="0"/>
    <s v="tfr.3.2"/>
    <n v="330"/>
  </r>
  <r>
    <x v="1"/>
    <x v="17"/>
    <x v="7"/>
    <x v="1"/>
    <x v="7"/>
    <x v="20"/>
    <n v="3"/>
    <n v="2"/>
    <x v="1"/>
    <x v="0"/>
    <s v="tfr.3.2"/>
    <n v="-330"/>
  </r>
  <r>
    <x v="1"/>
    <x v="3"/>
    <x v="7"/>
    <x v="1"/>
    <x v="7"/>
    <x v="20"/>
    <n v="3"/>
    <n v="2"/>
    <x v="1"/>
    <x v="0"/>
    <s v="op"/>
    <n v="330"/>
  </r>
  <r>
    <x v="1"/>
    <x v="0"/>
    <x v="7"/>
    <x v="1"/>
    <x v="7"/>
    <x v="20"/>
    <n v="3"/>
    <n v="2"/>
    <x v="0"/>
    <x v="1"/>
    <s v="cl"/>
    <n v="900"/>
  </r>
  <r>
    <x v="1"/>
    <x v="10"/>
    <x v="7"/>
    <x v="1"/>
    <x v="7"/>
    <x v="20"/>
    <n v="3"/>
    <n v="2"/>
    <x v="1"/>
    <x v="1"/>
    <s v="m.dd.r"/>
    <n v="-100"/>
  </r>
  <r>
    <x v="1"/>
    <x v="4"/>
    <x v="7"/>
    <x v="1"/>
    <x v="7"/>
    <x v="20"/>
    <n v="3"/>
    <n v="2"/>
    <x v="1"/>
    <x v="1"/>
    <s v="m.rd.r"/>
    <n v="-100"/>
  </r>
  <r>
    <x v="1"/>
    <x v="17"/>
    <x v="7"/>
    <x v="1"/>
    <x v="7"/>
    <x v="20"/>
    <n v="3"/>
    <n v="2"/>
    <x v="0"/>
    <x v="1"/>
    <s v="tfr.3.2"/>
    <n v="900"/>
  </r>
  <r>
    <x v="1"/>
    <x v="17"/>
    <x v="7"/>
    <x v="1"/>
    <x v="7"/>
    <x v="20"/>
    <n v="3"/>
    <n v="2"/>
    <x v="1"/>
    <x v="1"/>
    <s v="tfr.3.2"/>
    <n v="-900"/>
  </r>
  <r>
    <x v="1"/>
    <x v="3"/>
    <x v="7"/>
    <x v="1"/>
    <x v="7"/>
    <x v="20"/>
    <n v="3"/>
    <n v="2"/>
    <x v="1"/>
    <x v="1"/>
    <s v="op"/>
    <n v="1100"/>
  </r>
  <r>
    <x v="1"/>
    <x v="0"/>
    <x v="8"/>
    <x v="1"/>
    <x v="8"/>
    <x v="20"/>
    <n v="2"/>
    <n v="2"/>
    <x v="0"/>
    <x v="0"/>
    <s v="cl"/>
    <n v="160"/>
  </r>
  <r>
    <x v="1"/>
    <x v="5"/>
    <x v="8"/>
    <x v="1"/>
    <x v="8"/>
    <x v="20"/>
    <n v="2"/>
    <n v="2"/>
    <x v="0"/>
    <x v="0"/>
    <s v="m.rem"/>
    <n v="-20"/>
  </r>
  <r>
    <x v="1"/>
    <x v="3"/>
    <x v="8"/>
    <x v="1"/>
    <x v="8"/>
    <x v="20"/>
    <n v="2"/>
    <n v="2"/>
    <x v="0"/>
    <x v="0"/>
    <s v="op"/>
    <n v="180"/>
  </r>
  <r>
    <x v="1"/>
    <x v="0"/>
    <x v="8"/>
    <x v="1"/>
    <x v="8"/>
    <x v="20"/>
    <n v="2"/>
    <n v="2"/>
    <x v="0"/>
    <x v="1"/>
    <s v="cl"/>
    <n v="800"/>
  </r>
  <r>
    <x v="1"/>
    <x v="4"/>
    <x v="8"/>
    <x v="1"/>
    <x v="8"/>
    <x v="20"/>
    <n v="2"/>
    <n v="2"/>
    <x v="0"/>
    <x v="1"/>
    <s v="m.rd.r"/>
    <n v="-100"/>
  </r>
  <r>
    <x v="1"/>
    <x v="3"/>
    <x v="8"/>
    <x v="1"/>
    <x v="8"/>
    <x v="20"/>
    <n v="2"/>
    <n v="2"/>
    <x v="0"/>
    <x v="1"/>
    <s v="op"/>
    <n v="900"/>
  </r>
  <r>
    <x v="1"/>
    <x v="0"/>
    <x v="9"/>
    <x v="1"/>
    <x v="9"/>
    <x v="20"/>
    <n v="2"/>
    <n v="2"/>
    <x v="0"/>
    <x v="0"/>
    <s v="cl"/>
    <n v="240"/>
  </r>
  <r>
    <x v="1"/>
    <x v="5"/>
    <x v="9"/>
    <x v="1"/>
    <x v="9"/>
    <x v="20"/>
    <n v="2"/>
    <n v="2"/>
    <x v="0"/>
    <x v="0"/>
    <s v="m.rem"/>
    <n v="80"/>
  </r>
  <r>
    <x v="1"/>
    <x v="3"/>
    <x v="9"/>
    <x v="1"/>
    <x v="9"/>
    <x v="20"/>
    <n v="2"/>
    <n v="2"/>
    <x v="0"/>
    <x v="0"/>
    <s v="op"/>
    <n v="160"/>
  </r>
  <r>
    <x v="1"/>
    <x v="0"/>
    <x v="9"/>
    <x v="1"/>
    <x v="9"/>
    <x v="20"/>
    <n v="2"/>
    <n v="2"/>
    <x v="0"/>
    <x v="1"/>
    <s v="cl"/>
    <n v="1200"/>
  </r>
  <r>
    <x v="1"/>
    <x v="10"/>
    <x v="9"/>
    <x v="1"/>
    <x v="9"/>
    <x v="20"/>
    <n v="2"/>
    <n v="2"/>
    <x v="0"/>
    <x v="1"/>
    <s v="m.dd.r"/>
    <n v="200"/>
  </r>
  <r>
    <x v="1"/>
    <x v="4"/>
    <x v="9"/>
    <x v="1"/>
    <x v="9"/>
    <x v="20"/>
    <n v="2"/>
    <n v="2"/>
    <x v="0"/>
    <x v="1"/>
    <s v="m.rd.r"/>
    <n v="200"/>
  </r>
  <r>
    <x v="1"/>
    <x v="3"/>
    <x v="9"/>
    <x v="1"/>
    <x v="9"/>
    <x v="20"/>
    <n v="2"/>
    <n v="2"/>
    <x v="0"/>
    <x v="1"/>
    <s v="op"/>
    <n v="800"/>
  </r>
  <r>
    <x v="1"/>
    <x v="0"/>
    <x v="10"/>
    <x v="1"/>
    <x v="10"/>
    <x v="20"/>
    <n v="2"/>
    <n v="1"/>
    <x v="2"/>
    <x v="0"/>
    <s v="cl"/>
    <n v="80"/>
  </r>
  <r>
    <x v="1"/>
    <x v="1"/>
    <x v="10"/>
    <x v="1"/>
    <x v="10"/>
    <x v="20"/>
    <n v="2"/>
    <n v="1"/>
    <x v="2"/>
    <x v="0"/>
    <s v="m.rem.mig"/>
    <n v="-160"/>
  </r>
  <r>
    <x v="1"/>
    <x v="18"/>
    <x v="10"/>
    <x v="1"/>
    <x v="10"/>
    <x v="20"/>
    <n v="2"/>
    <n v="1"/>
    <x v="2"/>
    <x v="0"/>
    <s v="tfr.2.1"/>
    <n v="240"/>
  </r>
  <r>
    <x v="1"/>
    <x v="18"/>
    <x v="10"/>
    <x v="1"/>
    <x v="10"/>
    <x v="20"/>
    <n v="2"/>
    <n v="1"/>
    <x v="0"/>
    <x v="0"/>
    <s v="tfr.2.1"/>
    <n v="-240"/>
  </r>
  <r>
    <x v="1"/>
    <x v="3"/>
    <x v="10"/>
    <x v="1"/>
    <x v="10"/>
    <x v="20"/>
    <n v="2"/>
    <n v="1"/>
    <x v="0"/>
    <x v="0"/>
    <s v="op"/>
    <n v="240"/>
  </r>
  <r>
    <x v="1"/>
    <x v="0"/>
    <x v="10"/>
    <x v="1"/>
    <x v="10"/>
    <x v="20"/>
    <n v="2"/>
    <n v="1"/>
    <x v="2"/>
    <x v="1"/>
    <s v="cl"/>
    <n v="800"/>
  </r>
  <r>
    <x v="1"/>
    <x v="10"/>
    <x v="10"/>
    <x v="1"/>
    <x v="10"/>
    <x v="20"/>
    <n v="2"/>
    <n v="1"/>
    <x v="0"/>
    <x v="1"/>
    <s v="m.dd.r"/>
    <n v="-200"/>
  </r>
  <r>
    <x v="1"/>
    <x v="4"/>
    <x v="10"/>
    <x v="1"/>
    <x v="10"/>
    <x v="20"/>
    <n v="2"/>
    <n v="1"/>
    <x v="0"/>
    <x v="1"/>
    <s v="m.rd.r"/>
    <n v="-200"/>
  </r>
  <r>
    <x v="1"/>
    <x v="18"/>
    <x v="10"/>
    <x v="1"/>
    <x v="10"/>
    <x v="20"/>
    <n v="2"/>
    <n v="1"/>
    <x v="2"/>
    <x v="1"/>
    <s v="tfr.2.1"/>
    <n v="800"/>
  </r>
  <r>
    <x v="1"/>
    <x v="18"/>
    <x v="10"/>
    <x v="1"/>
    <x v="10"/>
    <x v="20"/>
    <n v="2"/>
    <n v="1"/>
    <x v="0"/>
    <x v="1"/>
    <s v="tfr.2.1"/>
    <n v="-800"/>
  </r>
  <r>
    <x v="1"/>
    <x v="3"/>
    <x v="10"/>
    <x v="1"/>
    <x v="10"/>
    <x v="20"/>
    <n v="2"/>
    <n v="1"/>
    <x v="0"/>
    <x v="1"/>
    <s v="op"/>
    <n v="1200"/>
  </r>
  <r>
    <x v="1"/>
    <x v="0"/>
    <x v="11"/>
    <x v="1"/>
    <x v="11"/>
    <x v="20"/>
    <n v="1"/>
    <n v="1"/>
    <x v="2"/>
    <x v="0"/>
    <s v="cl"/>
    <n v="60"/>
  </r>
  <r>
    <x v="1"/>
    <x v="5"/>
    <x v="11"/>
    <x v="1"/>
    <x v="11"/>
    <x v="20"/>
    <n v="1"/>
    <n v="1"/>
    <x v="2"/>
    <x v="0"/>
    <s v="m.rem"/>
    <n v="-20"/>
  </r>
  <r>
    <x v="1"/>
    <x v="3"/>
    <x v="11"/>
    <x v="1"/>
    <x v="11"/>
    <x v="20"/>
    <n v="1"/>
    <n v="1"/>
    <x v="2"/>
    <x v="0"/>
    <s v="op"/>
    <n v="80"/>
  </r>
  <r>
    <x v="1"/>
    <x v="0"/>
    <x v="11"/>
    <x v="1"/>
    <x v="11"/>
    <x v="20"/>
    <n v="1"/>
    <n v="1"/>
    <x v="2"/>
    <x v="1"/>
    <s v="cl"/>
    <n v="600"/>
  </r>
  <r>
    <x v="1"/>
    <x v="4"/>
    <x v="11"/>
    <x v="1"/>
    <x v="11"/>
    <x v="20"/>
    <n v="1"/>
    <n v="1"/>
    <x v="2"/>
    <x v="1"/>
    <s v="m.rd.r"/>
    <n v="-200"/>
  </r>
  <r>
    <x v="1"/>
    <x v="3"/>
    <x v="11"/>
    <x v="1"/>
    <x v="11"/>
    <x v="20"/>
    <n v="1"/>
    <n v="1"/>
    <x v="2"/>
    <x v="1"/>
    <s v="op"/>
    <n v="800"/>
  </r>
  <r>
    <x v="1"/>
    <x v="0"/>
    <x v="12"/>
    <x v="1"/>
    <x v="0"/>
    <x v="20"/>
    <n v="1"/>
    <n v="1"/>
    <x v="2"/>
    <x v="0"/>
    <s v="cl"/>
    <n v="40"/>
  </r>
  <r>
    <x v="1"/>
    <x v="5"/>
    <x v="12"/>
    <x v="1"/>
    <x v="0"/>
    <x v="20"/>
    <n v="1"/>
    <n v="1"/>
    <x v="2"/>
    <x v="0"/>
    <s v="m.rem"/>
    <n v="-20"/>
  </r>
  <r>
    <x v="1"/>
    <x v="3"/>
    <x v="12"/>
    <x v="1"/>
    <x v="0"/>
    <x v="20"/>
    <n v="1"/>
    <n v="1"/>
    <x v="2"/>
    <x v="0"/>
    <s v="op"/>
    <n v="60"/>
  </r>
  <r>
    <x v="1"/>
    <x v="0"/>
    <x v="12"/>
    <x v="1"/>
    <x v="0"/>
    <x v="20"/>
    <n v="1"/>
    <n v="1"/>
    <x v="2"/>
    <x v="1"/>
    <s v="cl"/>
    <n v="400"/>
  </r>
  <r>
    <x v="1"/>
    <x v="4"/>
    <x v="12"/>
    <x v="1"/>
    <x v="0"/>
    <x v="20"/>
    <n v="1"/>
    <n v="1"/>
    <x v="2"/>
    <x v="1"/>
    <s v="m.rd.r"/>
    <n v="-200"/>
  </r>
  <r>
    <x v="1"/>
    <x v="3"/>
    <x v="12"/>
    <x v="1"/>
    <x v="0"/>
    <x v="20"/>
    <n v="1"/>
    <n v="1"/>
    <x v="2"/>
    <x v="1"/>
    <s v="op"/>
    <n v="6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31B880-3C71-486F-B0E2-C4DF51264A5C}" name="PivotTable1" cacheId="29" applyNumberFormats="0" applyBorderFormats="0" applyFontFormats="0" applyPatternFormats="0" applyAlignmentFormats="0" applyWidthHeightFormats="1" dataCaption="Values" updatedVersion="6" minRefreshableVersion="3" rowGrandTotals="0" itemPrintTitles="1" createdVersion="6" indent="0" compact="0" compactData="0" multipleFieldFilters="0">
  <location ref="A16:N246" firstHeaderRow="1" firstDataRow="3" firstDataCol="3" rowPageCount="2" colPageCount="1"/>
  <pivotFields count="14">
    <pivotField axis="axisPage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ortType="ascending">
      <items count="20">
        <item x="3"/>
        <item x="11"/>
        <item x="15"/>
        <item x="16"/>
        <item x="18"/>
        <item x="2"/>
        <item x="17"/>
        <item x="13"/>
        <item x="10"/>
        <item x="4"/>
        <item x="14"/>
        <item x="9"/>
        <item x="8"/>
        <item x="5"/>
        <item x="1"/>
        <item x="12"/>
        <item x="7"/>
        <item x="6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defaultSubtotal="0">
      <items count="2">
        <item h="1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>
      <items count="5">
        <item x="2"/>
        <item x="0"/>
        <item x="1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sd="0" x="0"/>
        <item sd="0" x="1"/>
        <item sd="0" x="2"/>
        <item sd="0" x="3"/>
        <item sd="0"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5">
        <item sd="0" x="0"/>
        <item sd="0" x="1"/>
        <item sd="0"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4"/>
    <field x="1"/>
  </rowFields>
  <rowItems count="228">
    <i>
      <x v="1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1">
      <x v="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1">
      <x v="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1">
      <x v="8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1">
      <x v="9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1">
      <x v="10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1">
      <x v="1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</rowItems>
  <colFields count="2">
    <field x="9"/>
    <field x="8"/>
  </colFields>
  <colItems count="11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 t="grand">
      <x/>
    </i>
  </colItems>
  <pageFields count="2">
    <pageField fld="0" hier="-1"/>
    <pageField fld="5" hier="-1"/>
  </pageFields>
  <dataFields count="1">
    <dataField name="Sum of tran_ccy" fld="11" baseField="1" baseItem="2" numFmtId="164"/>
  </dataFields>
  <formats count="4">
    <format dxfId="3">
      <pivotArea field="3" type="button" dataOnly="0" labelOnly="1" outline="0" axis="axisRow" fieldPosition="0"/>
    </format>
    <format dxfId="2">
      <pivotArea field="4" type="button" dataOnly="0" labelOnly="1" outline="0" axis="axisRow" fieldPosition="1"/>
    </format>
    <format dxfId="1">
      <pivotArea dataOnly="0" labelOnly="1" outline="0" fieldPosition="0">
        <references count="1">
          <reference field="3" count="0"/>
        </references>
      </pivotArea>
    </format>
    <format dxfId="0">
      <pivotArea dataOnly="0" labelOnly="1" outline="0" fieldPosition="0">
        <references count="2">
          <reference field="3" count="0" selected="0"/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129"/>
  <sheetViews>
    <sheetView tabSelected="1" zoomScale="60" zoomScaleNormal="60" workbookViewId="0">
      <pane ySplit="1" topLeftCell="A2" activePane="bottomLeft" state="frozen"/>
      <selection pane="bottomLeft" activeCell="P2" sqref="P2:S14"/>
    </sheetView>
  </sheetViews>
  <sheetFormatPr defaultRowHeight="15" x14ac:dyDescent="0.25"/>
  <cols>
    <col min="2" max="7" width="9.140625" style="3"/>
    <col min="8" max="10" width="12.5703125" style="68" customWidth="1"/>
    <col min="11" max="13" width="9.140625" style="3"/>
    <col min="14" max="14" width="47.42578125" style="53" bestFit="1" customWidth="1"/>
  </cols>
  <sheetData>
    <row r="1" spans="1:14" s="41" customFormat="1" ht="38.25" customHeight="1" x14ac:dyDescent="0.25">
      <c r="A1" s="41" t="s">
        <v>45</v>
      </c>
      <c r="B1" s="42" t="s">
        <v>46</v>
      </c>
      <c r="C1" s="42" t="s">
        <v>1</v>
      </c>
      <c r="D1" s="42" t="s">
        <v>47</v>
      </c>
      <c r="E1" s="42" t="s">
        <v>48</v>
      </c>
      <c r="F1" s="42" t="s">
        <v>49</v>
      </c>
      <c r="G1" s="42" t="s">
        <v>50</v>
      </c>
      <c r="H1" s="67" t="s">
        <v>15</v>
      </c>
      <c r="I1" s="67" t="s">
        <v>51</v>
      </c>
      <c r="J1" s="67" t="s">
        <v>8</v>
      </c>
      <c r="K1" s="42" t="s">
        <v>52</v>
      </c>
      <c r="L1" s="42" t="s">
        <v>53</v>
      </c>
      <c r="M1" s="42" t="s">
        <v>54</v>
      </c>
      <c r="N1" s="54" t="s">
        <v>55</v>
      </c>
    </row>
    <row r="2" spans="1:14" x14ac:dyDescent="0.25">
      <c r="A2">
        <v>2017</v>
      </c>
      <c r="B2" s="3">
        <v>12</v>
      </c>
      <c r="C2" s="3">
        <v>1</v>
      </c>
      <c r="D2" s="3">
        <v>5000</v>
      </c>
      <c r="E2" s="3" t="s">
        <v>56</v>
      </c>
      <c r="F2" s="3">
        <v>2</v>
      </c>
      <c r="G2" s="3" t="s">
        <v>57</v>
      </c>
      <c r="H2" s="68">
        <v>75</v>
      </c>
      <c r="I2" s="68">
        <v>75</v>
      </c>
      <c r="J2" s="68">
        <v>-15</v>
      </c>
      <c r="K2" s="3" t="s">
        <v>58</v>
      </c>
      <c r="L2" s="3" t="s">
        <v>58</v>
      </c>
      <c r="M2" s="3" t="s">
        <v>58</v>
      </c>
      <c r="N2" s="53" t="s">
        <v>59</v>
      </c>
    </row>
    <row r="3" spans="1:14" x14ac:dyDescent="0.25">
      <c r="A3">
        <v>2018</v>
      </c>
      <c r="B3" s="3">
        <v>1</v>
      </c>
      <c r="C3" s="3">
        <v>1</v>
      </c>
      <c r="D3" s="3">
        <v>5000</v>
      </c>
      <c r="E3" s="3" t="s">
        <v>56</v>
      </c>
      <c r="F3" s="3">
        <v>3</v>
      </c>
      <c r="G3" s="3" t="s">
        <v>57</v>
      </c>
      <c r="H3" s="68">
        <v>75</v>
      </c>
      <c r="I3" s="68">
        <v>75</v>
      </c>
      <c r="J3" s="68">
        <v>-30</v>
      </c>
      <c r="K3" s="3" t="s">
        <v>58</v>
      </c>
      <c r="L3" s="3" t="s">
        <v>58</v>
      </c>
      <c r="M3" s="3" t="s">
        <v>58</v>
      </c>
      <c r="N3" s="53" t="s">
        <v>60</v>
      </c>
    </row>
    <row r="4" spans="1:14" x14ac:dyDescent="0.25">
      <c r="A4" s="46">
        <v>2018</v>
      </c>
      <c r="B4" s="47">
        <v>2</v>
      </c>
      <c r="C4" s="47">
        <v>1</v>
      </c>
      <c r="D4" s="47">
        <v>5000</v>
      </c>
      <c r="E4" s="47" t="s">
        <v>56</v>
      </c>
      <c r="F4" s="47" t="s">
        <v>58</v>
      </c>
      <c r="G4" s="47" t="s">
        <v>58</v>
      </c>
      <c r="H4" s="69">
        <v>0</v>
      </c>
      <c r="I4" s="69">
        <v>0</v>
      </c>
      <c r="J4" s="69">
        <v>0</v>
      </c>
      <c r="K4" s="47">
        <v>40</v>
      </c>
      <c r="L4" s="47" t="s">
        <v>58</v>
      </c>
      <c r="M4" s="47" t="s">
        <v>58</v>
      </c>
      <c r="N4" s="55" t="s">
        <v>61</v>
      </c>
    </row>
    <row r="5" spans="1:14" x14ac:dyDescent="0.25">
      <c r="A5">
        <v>2017</v>
      </c>
      <c r="B5" s="3">
        <v>12</v>
      </c>
      <c r="C5" s="3">
        <v>2</v>
      </c>
      <c r="D5" s="3">
        <v>5000</v>
      </c>
      <c r="E5" s="3" t="s">
        <v>62</v>
      </c>
      <c r="F5" s="3">
        <v>2</v>
      </c>
      <c r="G5" s="3" t="s">
        <v>57</v>
      </c>
      <c r="H5" s="68">
        <v>755</v>
      </c>
      <c r="I5" s="68">
        <v>750</v>
      </c>
      <c r="J5" s="68">
        <v>-150</v>
      </c>
      <c r="K5" s="3" t="s">
        <v>58</v>
      </c>
      <c r="L5" s="3" t="s">
        <v>58</v>
      </c>
      <c r="M5" s="3" t="s">
        <v>58</v>
      </c>
      <c r="N5" s="53" t="s">
        <v>59</v>
      </c>
    </row>
    <row r="6" spans="1:14" x14ac:dyDescent="0.25">
      <c r="A6">
        <v>2018</v>
      </c>
      <c r="B6" s="3">
        <v>1</v>
      </c>
      <c r="C6" s="3">
        <v>2</v>
      </c>
      <c r="D6" s="3">
        <v>5000</v>
      </c>
      <c r="E6" s="3" t="s">
        <v>62</v>
      </c>
      <c r="F6" s="3">
        <v>3</v>
      </c>
      <c r="G6" s="3" t="s">
        <v>57</v>
      </c>
      <c r="H6" s="68">
        <v>754</v>
      </c>
      <c r="I6" s="68">
        <v>750</v>
      </c>
      <c r="J6" s="68">
        <v>-300</v>
      </c>
      <c r="K6" s="3" t="s">
        <v>58</v>
      </c>
      <c r="L6" s="3" t="s">
        <v>58</v>
      </c>
      <c r="M6" s="3" t="s">
        <v>58</v>
      </c>
      <c r="N6" s="53" t="s">
        <v>60</v>
      </c>
    </row>
    <row r="7" spans="1:14" x14ac:dyDescent="0.25">
      <c r="A7" s="46">
        <v>2018</v>
      </c>
      <c r="B7" s="47">
        <v>2</v>
      </c>
      <c r="C7" s="47">
        <v>2</v>
      </c>
      <c r="D7" s="47">
        <v>5000</v>
      </c>
      <c r="E7" s="47" t="s">
        <v>62</v>
      </c>
      <c r="F7" s="47" t="s">
        <v>58</v>
      </c>
      <c r="G7" s="47" t="s">
        <v>58</v>
      </c>
      <c r="H7" s="69">
        <v>3</v>
      </c>
      <c r="I7" s="69">
        <v>0</v>
      </c>
      <c r="J7" s="69">
        <v>0</v>
      </c>
      <c r="K7" s="47">
        <v>400</v>
      </c>
      <c r="L7" s="47" t="s">
        <v>58</v>
      </c>
      <c r="M7" s="47" t="s">
        <v>58</v>
      </c>
      <c r="N7" s="55" t="s">
        <v>63</v>
      </c>
    </row>
    <row r="8" spans="1:14" x14ac:dyDescent="0.25">
      <c r="A8">
        <v>2017</v>
      </c>
      <c r="B8" s="3">
        <v>12</v>
      </c>
      <c r="C8" s="3">
        <v>3</v>
      </c>
      <c r="D8" s="3">
        <v>5000</v>
      </c>
      <c r="E8" s="3" t="s">
        <v>62</v>
      </c>
      <c r="F8" s="3">
        <v>2</v>
      </c>
      <c r="G8" s="3" t="s">
        <v>57</v>
      </c>
      <c r="H8" s="68">
        <v>755</v>
      </c>
      <c r="I8" s="68">
        <v>750</v>
      </c>
      <c r="J8" s="68">
        <v>-150</v>
      </c>
      <c r="K8" s="3" t="s">
        <v>58</v>
      </c>
      <c r="L8" s="3" t="s">
        <v>58</v>
      </c>
      <c r="M8" s="3" t="s">
        <v>58</v>
      </c>
      <c r="N8" s="53" t="s">
        <v>59</v>
      </c>
    </row>
    <row r="9" spans="1:14" x14ac:dyDescent="0.25">
      <c r="A9">
        <v>2018</v>
      </c>
      <c r="B9" s="3">
        <v>1</v>
      </c>
      <c r="C9" s="3">
        <v>3</v>
      </c>
      <c r="D9" s="3">
        <v>5000</v>
      </c>
      <c r="E9" s="3" t="s">
        <v>62</v>
      </c>
      <c r="F9" s="3">
        <v>3</v>
      </c>
      <c r="G9" s="3" t="s">
        <v>57</v>
      </c>
      <c r="H9" s="68">
        <v>754</v>
      </c>
      <c r="I9" s="68">
        <v>750</v>
      </c>
      <c r="J9" s="68">
        <v>-300</v>
      </c>
      <c r="K9" s="3" t="s">
        <v>58</v>
      </c>
      <c r="L9" s="3" t="s">
        <v>58</v>
      </c>
      <c r="M9" s="3" t="s">
        <v>58</v>
      </c>
      <c r="N9" s="53" t="s">
        <v>60</v>
      </c>
    </row>
    <row r="10" spans="1:14" x14ac:dyDescent="0.25">
      <c r="A10" s="46">
        <v>2018</v>
      </c>
      <c r="B10" s="47">
        <v>2</v>
      </c>
      <c r="C10" s="47">
        <v>3</v>
      </c>
      <c r="D10" s="47">
        <v>5000</v>
      </c>
      <c r="E10" s="47" t="s">
        <v>62</v>
      </c>
      <c r="F10" s="47" t="s">
        <v>58</v>
      </c>
      <c r="G10" s="47" t="s">
        <v>58</v>
      </c>
      <c r="H10" s="69">
        <v>3</v>
      </c>
      <c r="I10" s="69">
        <v>0</v>
      </c>
      <c r="J10" s="69">
        <v>0</v>
      </c>
      <c r="K10" s="47">
        <v>200</v>
      </c>
      <c r="L10" s="47" t="s">
        <v>58</v>
      </c>
      <c r="M10" s="47" t="s">
        <v>58</v>
      </c>
      <c r="N10" s="55" t="s">
        <v>64</v>
      </c>
    </row>
    <row r="11" spans="1:14" x14ac:dyDescent="0.25">
      <c r="A11">
        <v>2017</v>
      </c>
      <c r="B11" s="3">
        <v>12</v>
      </c>
      <c r="C11" s="3">
        <v>4</v>
      </c>
      <c r="D11" s="3">
        <v>5000</v>
      </c>
      <c r="E11" s="3" t="s">
        <v>62</v>
      </c>
      <c r="F11" s="3">
        <v>2</v>
      </c>
      <c r="G11" s="3" t="s">
        <v>57</v>
      </c>
      <c r="H11" s="68">
        <v>755</v>
      </c>
      <c r="I11" s="68">
        <v>750</v>
      </c>
      <c r="J11" s="68">
        <v>-150</v>
      </c>
      <c r="K11" s="3" t="s">
        <v>58</v>
      </c>
      <c r="L11" s="3" t="s">
        <v>58</v>
      </c>
      <c r="M11" s="3" t="s">
        <v>58</v>
      </c>
      <c r="N11" s="53" t="s">
        <v>59</v>
      </c>
    </row>
    <row r="12" spans="1:14" x14ac:dyDescent="0.25">
      <c r="A12">
        <v>2018</v>
      </c>
      <c r="B12" s="3">
        <v>1</v>
      </c>
      <c r="C12" s="3">
        <v>4</v>
      </c>
      <c r="D12" s="3">
        <v>5000</v>
      </c>
      <c r="E12" s="3" t="s">
        <v>62</v>
      </c>
      <c r="F12" s="3">
        <v>3</v>
      </c>
      <c r="G12" s="3" t="s">
        <v>57</v>
      </c>
      <c r="H12" s="68">
        <v>754</v>
      </c>
      <c r="I12" s="68">
        <v>750</v>
      </c>
      <c r="J12" s="68">
        <v>-180</v>
      </c>
      <c r="K12" s="3" t="s">
        <v>58</v>
      </c>
      <c r="L12" s="3" t="s">
        <v>58</v>
      </c>
      <c r="M12" s="3" t="s">
        <v>58</v>
      </c>
      <c r="N12" s="53" t="s">
        <v>60</v>
      </c>
    </row>
    <row r="13" spans="1:14" x14ac:dyDescent="0.25">
      <c r="A13" s="46">
        <v>2018</v>
      </c>
      <c r="B13" s="47">
        <v>2</v>
      </c>
      <c r="C13" s="47">
        <v>4</v>
      </c>
      <c r="D13" s="47">
        <v>5000</v>
      </c>
      <c r="E13" s="47" t="s">
        <v>62</v>
      </c>
      <c r="F13" s="47">
        <v>3</v>
      </c>
      <c r="G13" s="47" t="s">
        <v>57</v>
      </c>
      <c r="H13" s="69">
        <v>203</v>
      </c>
      <c r="I13" s="69">
        <v>200</v>
      </c>
      <c r="J13" s="69">
        <v>-48</v>
      </c>
      <c r="K13" s="47">
        <v>200</v>
      </c>
      <c r="L13" s="47" t="s">
        <v>58</v>
      </c>
      <c r="M13" s="47" t="s">
        <v>58</v>
      </c>
      <c r="N13" s="55" t="s">
        <v>65</v>
      </c>
    </row>
    <row r="14" spans="1:14" x14ac:dyDescent="0.25">
      <c r="A14">
        <v>2017</v>
      </c>
      <c r="B14" s="3">
        <v>12</v>
      </c>
      <c r="C14" s="3">
        <v>5</v>
      </c>
      <c r="D14" s="3">
        <v>5000</v>
      </c>
      <c r="E14" s="3" t="s">
        <v>62</v>
      </c>
      <c r="F14" s="3">
        <v>1</v>
      </c>
      <c r="G14" s="3" t="s">
        <v>57</v>
      </c>
      <c r="H14" s="68">
        <v>950</v>
      </c>
      <c r="I14" s="68">
        <v>1000</v>
      </c>
      <c r="J14" s="68">
        <v>-9.5</v>
      </c>
      <c r="K14" s="3" t="s">
        <v>58</v>
      </c>
      <c r="L14" s="3" t="s">
        <v>58</v>
      </c>
      <c r="M14" s="3" t="s">
        <v>58</v>
      </c>
      <c r="N14" s="53" t="s">
        <v>59</v>
      </c>
    </row>
    <row r="15" spans="1:14" x14ac:dyDescent="0.25">
      <c r="A15" s="46">
        <v>2018</v>
      </c>
      <c r="B15" s="47">
        <v>1</v>
      </c>
      <c r="C15" s="47">
        <v>5</v>
      </c>
      <c r="D15" s="47">
        <v>5000</v>
      </c>
      <c r="E15" s="47" t="s">
        <v>62</v>
      </c>
      <c r="F15" s="47">
        <v>1</v>
      </c>
      <c r="G15" s="47" t="s">
        <v>57</v>
      </c>
      <c r="H15" s="69">
        <v>975</v>
      </c>
      <c r="I15" s="69">
        <v>1000</v>
      </c>
      <c r="J15" s="69">
        <v>-9.5</v>
      </c>
      <c r="K15" s="47" t="s">
        <v>58</v>
      </c>
      <c r="L15" s="47" t="s">
        <v>58</v>
      </c>
      <c r="M15" s="47" t="s">
        <v>58</v>
      </c>
      <c r="N15" s="55" t="s">
        <v>66</v>
      </c>
    </row>
    <row r="16" spans="1:14" x14ac:dyDescent="0.25">
      <c r="A16" s="57">
        <v>2018</v>
      </c>
      <c r="B16" s="58">
        <v>1</v>
      </c>
      <c r="C16" s="58">
        <v>6</v>
      </c>
      <c r="D16" s="58">
        <v>5000</v>
      </c>
      <c r="E16" s="58" t="s">
        <v>56</v>
      </c>
      <c r="F16" s="58" t="s">
        <v>58</v>
      </c>
      <c r="G16" s="58" t="s">
        <v>58</v>
      </c>
      <c r="H16" s="70">
        <v>100</v>
      </c>
      <c r="I16" s="70">
        <v>110</v>
      </c>
      <c r="J16" s="70">
        <v>-2</v>
      </c>
      <c r="K16" s="58" t="s">
        <v>58</v>
      </c>
      <c r="L16" s="58" t="s">
        <v>58</v>
      </c>
      <c r="M16" s="58" t="s">
        <v>58</v>
      </c>
      <c r="N16" s="59" t="s">
        <v>67</v>
      </c>
    </row>
    <row r="17" spans="1:14" x14ac:dyDescent="0.25">
      <c r="A17" s="60">
        <v>2018</v>
      </c>
      <c r="B17" s="61">
        <v>2</v>
      </c>
      <c r="C17" s="61">
        <v>6</v>
      </c>
      <c r="D17" s="61">
        <v>5000</v>
      </c>
      <c r="E17" s="61" t="s">
        <v>56</v>
      </c>
      <c r="F17" s="61">
        <v>2</v>
      </c>
      <c r="G17" s="61" t="s">
        <v>57</v>
      </c>
      <c r="H17" s="71">
        <v>-1500</v>
      </c>
      <c r="I17" s="71">
        <v>-1500</v>
      </c>
      <c r="J17" s="71">
        <v>0.02</v>
      </c>
      <c r="K17" s="61" t="s">
        <v>58</v>
      </c>
      <c r="L17" s="61" t="s">
        <v>58</v>
      </c>
      <c r="M17" s="61" t="s">
        <v>58</v>
      </c>
      <c r="N17" s="62" t="s">
        <v>68</v>
      </c>
    </row>
    <row r="18" spans="1:14" x14ac:dyDescent="0.25">
      <c r="A18" s="46">
        <v>2018</v>
      </c>
      <c r="B18" s="47">
        <v>3</v>
      </c>
      <c r="C18" s="47">
        <v>6</v>
      </c>
      <c r="D18" s="47">
        <v>5000</v>
      </c>
      <c r="E18" s="47" t="s">
        <v>56</v>
      </c>
      <c r="F18" s="47">
        <v>2</v>
      </c>
      <c r="G18" s="47" t="s">
        <v>57</v>
      </c>
      <c r="H18" s="69">
        <v>100</v>
      </c>
      <c r="I18" s="69">
        <v>110</v>
      </c>
      <c r="J18" s="69">
        <v>-2</v>
      </c>
      <c r="K18" s="47" t="s">
        <v>58</v>
      </c>
      <c r="L18" s="47">
        <v>1</v>
      </c>
      <c r="M18" s="47">
        <v>3</v>
      </c>
      <c r="N18" s="55" t="s">
        <v>69</v>
      </c>
    </row>
    <row r="19" spans="1:14" x14ac:dyDescent="0.25">
      <c r="A19">
        <v>2017</v>
      </c>
      <c r="B19" s="3">
        <v>12</v>
      </c>
      <c r="C19" s="3">
        <v>7</v>
      </c>
      <c r="D19" s="3">
        <v>5000</v>
      </c>
      <c r="E19" s="3" t="s">
        <v>62</v>
      </c>
      <c r="F19" s="3">
        <v>1</v>
      </c>
      <c r="G19" s="3" t="s">
        <v>57</v>
      </c>
      <c r="H19" s="68">
        <v>900</v>
      </c>
      <c r="I19" s="68">
        <v>950</v>
      </c>
      <c r="J19" s="68">
        <v>-9.5</v>
      </c>
      <c r="K19" s="3" t="s">
        <v>58</v>
      </c>
      <c r="L19" s="3" t="s">
        <v>58</v>
      </c>
      <c r="M19" s="3" t="s">
        <v>58</v>
      </c>
      <c r="N19" s="53" t="s">
        <v>69</v>
      </c>
    </row>
    <row r="20" spans="1:14" x14ac:dyDescent="0.25">
      <c r="A20">
        <v>2018</v>
      </c>
      <c r="B20" s="3">
        <v>1</v>
      </c>
      <c r="C20" s="3">
        <v>7</v>
      </c>
      <c r="D20" s="3">
        <v>5000</v>
      </c>
      <c r="E20" s="3" t="s">
        <v>62</v>
      </c>
      <c r="F20" s="3">
        <v>1</v>
      </c>
      <c r="G20" s="3" t="s">
        <v>57</v>
      </c>
      <c r="H20" s="68">
        <v>890</v>
      </c>
      <c r="I20" s="68">
        <v>940</v>
      </c>
      <c r="J20" s="68">
        <v>-9</v>
      </c>
      <c r="K20" s="3" t="s">
        <v>58</v>
      </c>
      <c r="L20" s="3" t="s">
        <v>58</v>
      </c>
      <c r="M20" s="3" t="s">
        <v>58</v>
      </c>
      <c r="N20" s="53" t="s">
        <v>69</v>
      </c>
    </row>
    <row r="21" spans="1:14" x14ac:dyDescent="0.25">
      <c r="A21">
        <v>2018</v>
      </c>
      <c r="B21" s="3">
        <v>2</v>
      </c>
      <c r="C21" s="3">
        <v>7</v>
      </c>
      <c r="D21" s="3">
        <v>5000</v>
      </c>
      <c r="E21" s="3" t="s">
        <v>62</v>
      </c>
      <c r="F21" s="3">
        <v>1</v>
      </c>
      <c r="G21" s="3" t="s">
        <v>57</v>
      </c>
      <c r="H21" s="68">
        <v>880</v>
      </c>
      <c r="I21" s="68">
        <v>930</v>
      </c>
      <c r="J21" s="68">
        <v>-8.5</v>
      </c>
      <c r="K21" s="3" t="s">
        <v>58</v>
      </c>
      <c r="L21" s="3" t="s">
        <v>58</v>
      </c>
      <c r="M21" s="3" t="s">
        <v>58</v>
      </c>
      <c r="N21" s="53" t="s">
        <v>69</v>
      </c>
    </row>
    <row r="22" spans="1:14" x14ac:dyDescent="0.25">
      <c r="A22" s="46">
        <v>2018</v>
      </c>
      <c r="B22" s="47">
        <v>3</v>
      </c>
      <c r="C22" s="47">
        <v>7</v>
      </c>
      <c r="D22" s="47">
        <v>5000</v>
      </c>
      <c r="E22" s="47" t="s">
        <v>62</v>
      </c>
      <c r="F22" s="47">
        <v>1</v>
      </c>
      <c r="G22" s="47" t="s">
        <v>57</v>
      </c>
      <c r="H22" s="69">
        <v>880</v>
      </c>
      <c r="I22" s="69">
        <v>930</v>
      </c>
      <c r="J22" s="69">
        <v>-8</v>
      </c>
      <c r="K22" s="47" t="s">
        <v>58</v>
      </c>
      <c r="L22" s="47">
        <v>4</v>
      </c>
      <c r="M22" s="47">
        <v>9</v>
      </c>
      <c r="N22" s="55" t="s">
        <v>69</v>
      </c>
    </row>
    <row r="23" spans="1:14" x14ac:dyDescent="0.25">
      <c r="A23">
        <v>2017</v>
      </c>
      <c r="B23" s="3">
        <v>12</v>
      </c>
      <c r="C23" s="3">
        <v>8</v>
      </c>
      <c r="D23" s="3">
        <v>5000</v>
      </c>
      <c r="E23" s="3" t="s">
        <v>56</v>
      </c>
      <c r="F23" s="3">
        <v>3</v>
      </c>
      <c r="G23" s="3" t="s">
        <v>70</v>
      </c>
      <c r="H23" s="68">
        <v>980</v>
      </c>
      <c r="I23" s="68">
        <v>1000</v>
      </c>
      <c r="J23" s="68">
        <v>-225</v>
      </c>
      <c r="K23" s="3" t="s">
        <v>58</v>
      </c>
      <c r="L23" s="3" t="s">
        <v>58</v>
      </c>
      <c r="M23" s="3" t="s">
        <v>58</v>
      </c>
      <c r="N23" s="53" t="s">
        <v>69</v>
      </c>
    </row>
    <row r="24" spans="1:14" x14ac:dyDescent="0.25">
      <c r="A24">
        <v>2018</v>
      </c>
      <c r="B24" s="3">
        <v>1</v>
      </c>
      <c r="C24" s="3">
        <v>8</v>
      </c>
      <c r="D24" s="3">
        <v>5000</v>
      </c>
      <c r="E24" s="3" t="s">
        <v>56</v>
      </c>
      <c r="F24" s="3">
        <v>3</v>
      </c>
      <c r="G24" s="3" t="s">
        <v>70</v>
      </c>
      <c r="H24" s="68">
        <v>985</v>
      </c>
      <c r="I24" s="68">
        <v>1000</v>
      </c>
      <c r="J24" s="68">
        <v>-225</v>
      </c>
      <c r="K24" s="3" t="s">
        <v>58</v>
      </c>
      <c r="L24" s="3" t="s">
        <v>58</v>
      </c>
      <c r="M24" s="3" t="s">
        <v>58</v>
      </c>
      <c r="N24" s="53" t="s">
        <v>69</v>
      </c>
    </row>
    <row r="25" spans="1:14" x14ac:dyDescent="0.25">
      <c r="A25">
        <v>2018</v>
      </c>
      <c r="B25" s="3">
        <v>2</v>
      </c>
      <c r="C25" s="3">
        <v>8</v>
      </c>
      <c r="D25" s="3">
        <v>5000</v>
      </c>
      <c r="E25" s="3" t="s">
        <v>56</v>
      </c>
      <c r="F25" s="3">
        <v>2</v>
      </c>
      <c r="G25" s="3" t="s">
        <v>70</v>
      </c>
      <c r="H25" s="68">
        <v>490</v>
      </c>
      <c r="I25" s="68">
        <v>500</v>
      </c>
      <c r="J25" s="68">
        <v>-55</v>
      </c>
      <c r="K25" s="3" t="s">
        <v>58</v>
      </c>
      <c r="L25" s="3" t="s">
        <v>58</v>
      </c>
      <c r="M25" s="3" t="s">
        <v>58</v>
      </c>
      <c r="N25" s="53" t="s">
        <v>215</v>
      </c>
    </row>
    <row r="26" spans="1:14" x14ac:dyDescent="0.25">
      <c r="A26" s="46">
        <v>2018</v>
      </c>
      <c r="B26" s="47">
        <v>3</v>
      </c>
      <c r="C26" s="47">
        <v>8</v>
      </c>
      <c r="D26" s="47">
        <v>5000</v>
      </c>
      <c r="E26" s="47" t="s">
        <v>56</v>
      </c>
      <c r="F26" s="47">
        <v>2</v>
      </c>
      <c r="G26" s="47" t="s">
        <v>57</v>
      </c>
      <c r="H26" s="69">
        <v>495</v>
      </c>
      <c r="I26" s="69">
        <v>500</v>
      </c>
      <c r="J26" s="69">
        <v>-55</v>
      </c>
      <c r="K26" s="47" t="s">
        <v>58</v>
      </c>
      <c r="L26" s="47">
        <v>20</v>
      </c>
      <c r="M26" s="47">
        <v>80</v>
      </c>
      <c r="N26" s="55" t="s">
        <v>71</v>
      </c>
    </row>
    <row r="27" spans="1:14" x14ac:dyDescent="0.25">
      <c r="A27">
        <v>2017</v>
      </c>
      <c r="B27" s="3">
        <v>12</v>
      </c>
      <c r="C27" s="3">
        <v>9</v>
      </c>
      <c r="D27" s="3">
        <v>5000</v>
      </c>
      <c r="E27" s="3" t="s">
        <v>62</v>
      </c>
      <c r="F27" s="3">
        <v>3</v>
      </c>
      <c r="G27" s="3" t="s">
        <v>70</v>
      </c>
      <c r="H27" s="68">
        <v>980</v>
      </c>
      <c r="I27" s="68">
        <v>1000</v>
      </c>
      <c r="J27" s="68">
        <v>-225</v>
      </c>
      <c r="K27" s="3" t="s">
        <v>58</v>
      </c>
      <c r="L27" s="3" t="s">
        <v>58</v>
      </c>
      <c r="M27" s="3" t="s">
        <v>58</v>
      </c>
      <c r="N27" s="53" t="s">
        <v>69</v>
      </c>
    </row>
    <row r="28" spans="1:14" x14ac:dyDescent="0.25">
      <c r="A28">
        <v>2018</v>
      </c>
      <c r="B28" s="3">
        <v>1</v>
      </c>
      <c r="C28" s="3">
        <v>9</v>
      </c>
      <c r="D28" s="3">
        <v>5000</v>
      </c>
      <c r="E28" s="3" t="s">
        <v>62</v>
      </c>
      <c r="F28" s="3">
        <v>3</v>
      </c>
      <c r="G28" s="3" t="s">
        <v>70</v>
      </c>
      <c r="H28" s="68">
        <v>985</v>
      </c>
      <c r="I28" s="68">
        <v>1000</v>
      </c>
      <c r="J28" s="68">
        <v>-225</v>
      </c>
      <c r="K28" s="3" t="s">
        <v>58</v>
      </c>
      <c r="L28" s="3" t="s">
        <v>58</v>
      </c>
      <c r="M28" s="3" t="s">
        <v>58</v>
      </c>
      <c r="N28" s="53" t="s">
        <v>69</v>
      </c>
    </row>
    <row r="29" spans="1:14" x14ac:dyDescent="0.25">
      <c r="A29">
        <v>2018</v>
      </c>
      <c r="B29" s="3">
        <v>2</v>
      </c>
      <c r="C29" s="3">
        <v>9</v>
      </c>
      <c r="D29" s="3">
        <v>5000</v>
      </c>
      <c r="E29" s="3" t="s">
        <v>62</v>
      </c>
      <c r="F29" s="3">
        <v>2</v>
      </c>
      <c r="G29" s="3" t="s">
        <v>57</v>
      </c>
      <c r="H29" s="68">
        <v>490</v>
      </c>
      <c r="I29" s="68">
        <v>500</v>
      </c>
      <c r="J29" s="68">
        <v>-55</v>
      </c>
      <c r="K29" s="3" t="s">
        <v>58</v>
      </c>
      <c r="L29" s="3" t="s">
        <v>58</v>
      </c>
      <c r="M29" s="3" t="s">
        <v>58</v>
      </c>
      <c r="N29" s="53" t="s">
        <v>71</v>
      </c>
    </row>
    <row r="30" spans="1:14" x14ac:dyDescent="0.25">
      <c r="A30" s="46">
        <v>2018</v>
      </c>
      <c r="B30" s="47">
        <v>3</v>
      </c>
      <c r="C30" s="47">
        <v>9</v>
      </c>
      <c r="D30" s="47">
        <v>5000</v>
      </c>
      <c r="E30" s="47" t="s">
        <v>62</v>
      </c>
      <c r="F30" s="47">
        <v>2</v>
      </c>
      <c r="G30" s="47" t="s">
        <v>57</v>
      </c>
      <c r="H30" s="69">
        <v>495</v>
      </c>
      <c r="I30" s="69">
        <v>500</v>
      </c>
      <c r="J30" s="69">
        <v>-55</v>
      </c>
      <c r="K30" s="47" t="s">
        <v>58</v>
      </c>
      <c r="L30" s="47">
        <v>25</v>
      </c>
      <c r="M30" s="47">
        <v>100</v>
      </c>
      <c r="N30" s="55" t="s">
        <v>69</v>
      </c>
    </row>
    <row r="31" spans="1:14" x14ac:dyDescent="0.25">
      <c r="A31">
        <v>2017</v>
      </c>
      <c r="B31" s="3">
        <v>12</v>
      </c>
      <c r="C31" s="3">
        <v>10</v>
      </c>
      <c r="D31" s="3">
        <v>5000</v>
      </c>
      <c r="E31" s="3" t="s">
        <v>56</v>
      </c>
      <c r="F31" s="3">
        <v>3</v>
      </c>
      <c r="G31" s="3" t="s">
        <v>57</v>
      </c>
      <c r="H31" s="68">
        <v>1250</v>
      </c>
      <c r="I31" s="68">
        <v>1250</v>
      </c>
      <c r="J31" s="68">
        <v>400</v>
      </c>
      <c r="K31" s="3" t="s">
        <v>58</v>
      </c>
      <c r="L31" s="3" t="s">
        <v>58</v>
      </c>
      <c r="M31" s="3" t="s">
        <v>58</v>
      </c>
      <c r="N31" s="53" t="s">
        <v>69</v>
      </c>
    </row>
    <row r="32" spans="1:14" x14ac:dyDescent="0.25">
      <c r="A32">
        <v>2018</v>
      </c>
      <c r="B32" s="3">
        <v>1</v>
      </c>
      <c r="C32" s="3">
        <v>10</v>
      </c>
      <c r="D32" s="3">
        <v>5000</v>
      </c>
      <c r="E32" s="3" t="s">
        <v>56</v>
      </c>
      <c r="F32" s="3">
        <v>3</v>
      </c>
      <c r="G32" s="3" t="s">
        <v>57</v>
      </c>
      <c r="H32" s="68">
        <v>1250</v>
      </c>
      <c r="I32" s="68">
        <v>1250</v>
      </c>
      <c r="J32" s="68">
        <v>0.02</v>
      </c>
      <c r="K32" s="3" t="s">
        <v>58</v>
      </c>
      <c r="L32" s="3" t="s">
        <v>58</v>
      </c>
      <c r="M32" s="3" t="s">
        <v>58</v>
      </c>
      <c r="N32" s="53" t="s">
        <v>68</v>
      </c>
    </row>
    <row r="33" spans="1:14" x14ac:dyDescent="0.25">
      <c r="A33" s="46">
        <v>2018</v>
      </c>
      <c r="B33" s="47">
        <v>2</v>
      </c>
      <c r="C33" s="47">
        <v>10</v>
      </c>
      <c r="D33" s="47">
        <v>5000</v>
      </c>
      <c r="E33" s="47" t="s">
        <v>56</v>
      </c>
      <c r="F33" s="47">
        <v>3</v>
      </c>
      <c r="G33" s="47" t="s">
        <v>57</v>
      </c>
      <c r="H33" s="69">
        <v>1000</v>
      </c>
      <c r="I33" s="69">
        <v>1000</v>
      </c>
      <c r="J33" s="69">
        <v>0.02</v>
      </c>
      <c r="K33" s="47" t="s">
        <v>58</v>
      </c>
      <c r="L33" s="47" t="s">
        <v>58</v>
      </c>
      <c r="M33" s="47" t="s">
        <v>58</v>
      </c>
      <c r="N33" s="55" t="s">
        <v>68</v>
      </c>
    </row>
    <row r="34" spans="1:14" x14ac:dyDescent="0.25">
      <c r="A34">
        <v>2017</v>
      </c>
      <c r="B34" s="3">
        <v>12</v>
      </c>
      <c r="C34" s="3">
        <v>11</v>
      </c>
      <c r="D34" s="3">
        <v>5000</v>
      </c>
      <c r="E34" s="3" t="s">
        <v>62</v>
      </c>
      <c r="F34" s="3">
        <v>1</v>
      </c>
      <c r="G34" s="3" t="s">
        <v>57</v>
      </c>
      <c r="H34" s="68">
        <v>500</v>
      </c>
      <c r="I34" s="68">
        <v>500</v>
      </c>
      <c r="J34" s="68">
        <v>10</v>
      </c>
      <c r="K34" s="3" t="s">
        <v>58</v>
      </c>
      <c r="L34" s="3" t="s">
        <v>58</v>
      </c>
      <c r="M34" s="3" t="s">
        <v>58</v>
      </c>
      <c r="N34" s="53" t="s">
        <v>68</v>
      </c>
    </row>
    <row r="35" spans="1:14" x14ac:dyDescent="0.25">
      <c r="A35">
        <v>2018</v>
      </c>
      <c r="B35" s="3">
        <v>1</v>
      </c>
      <c r="C35" s="3">
        <v>11</v>
      </c>
      <c r="D35" s="3">
        <v>5000</v>
      </c>
      <c r="E35" s="3" t="s">
        <v>62</v>
      </c>
      <c r="F35" s="3">
        <v>1</v>
      </c>
      <c r="G35" s="3" t="s">
        <v>57</v>
      </c>
      <c r="H35" s="68">
        <v>0.01</v>
      </c>
      <c r="I35" s="68">
        <v>0.01</v>
      </c>
      <c r="J35" s="68">
        <v>2</v>
      </c>
      <c r="K35" s="3" t="s">
        <v>58</v>
      </c>
      <c r="L35" s="3" t="s">
        <v>58</v>
      </c>
      <c r="M35" s="3" t="s">
        <v>58</v>
      </c>
      <c r="N35" s="53" t="s">
        <v>68</v>
      </c>
    </row>
    <row r="36" spans="1:14" x14ac:dyDescent="0.25">
      <c r="A36">
        <v>2018</v>
      </c>
      <c r="B36" s="3">
        <v>2</v>
      </c>
      <c r="C36" s="3">
        <v>11</v>
      </c>
      <c r="D36" s="3">
        <v>5000</v>
      </c>
      <c r="E36" s="3" t="s">
        <v>62</v>
      </c>
      <c r="F36" s="3">
        <v>1</v>
      </c>
      <c r="G36" s="3" t="s">
        <v>57</v>
      </c>
      <c r="H36" s="68">
        <v>0.01</v>
      </c>
      <c r="I36" s="68">
        <v>0.01</v>
      </c>
      <c r="J36" s="68">
        <v>2</v>
      </c>
      <c r="K36" s="3" t="s">
        <v>58</v>
      </c>
      <c r="L36" s="3" t="s">
        <v>58</v>
      </c>
      <c r="M36" s="3" t="s">
        <v>58</v>
      </c>
      <c r="N36" s="53" t="s">
        <v>68</v>
      </c>
    </row>
    <row r="37" spans="1:14" x14ac:dyDescent="0.25">
      <c r="A37" s="46">
        <v>2018</v>
      </c>
      <c r="B37" s="47">
        <v>3</v>
      </c>
      <c r="C37" s="47">
        <v>11</v>
      </c>
      <c r="D37" s="47">
        <v>5000</v>
      </c>
      <c r="E37" s="47" t="s">
        <v>62</v>
      </c>
      <c r="F37" s="47">
        <v>1</v>
      </c>
      <c r="G37" s="47" t="s">
        <v>57</v>
      </c>
      <c r="H37" s="69">
        <v>5</v>
      </c>
      <c r="I37" s="69">
        <v>5</v>
      </c>
      <c r="J37" s="69">
        <v>1</v>
      </c>
      <c r="K37" s="47" t="s">
        <v>58</v>
      </c>
      <c r="L37" s="47">
        <v>1</v>
      </c>
      <c r="M37" s="47">
        <v>2</v>
      </c>
      <c r="N37" s="55" t="s">
        <v>68</v>
      </c>
    </row>
    <row r="38" spans="1:14" x14ac:dyDescent="0.25">
      <c r="A38">
        <v>2017</v>
      </c>
      <c r="B38" s="3">
        <v>12</v>
      </c>
      <c r="C38" s="3">
        <v>12</v>
      </c>
      <c r="D38" s="3">
        <v>5000</v>
      </c>
      <c r="E38" s="3" t="s">
        <v>62</v>
      </c>
      <c r="F38" s="3">
        <v>3</v>
      </c>
      <c r="G38" s="3" t="s">
        <v>57</v>
      </c>
      <c r="H38" s="68">
        <v>475</v>
      </c>
      <c r="I38" s="68">
        <v>475</v>
      </c>
      <c r="J38" s="68">
        <v>-600</v>
      </c>
      <c r="K38" s="3" t="s">
        <v>58</v>
      </c>
      <c r="L38" s="3" t="s">
        <v>58</v>
      </c>
      <c r="M38" s="3" t="s">
        <v>58</v>
      </c>
      <c r="N38" s="53" t="s">
        <v>216</v>
      </c>
    </row>
    <row r="39" spans="1:14" x14ac:dyDescent="0.25">
      <c r="A39">
        <v>2018</v>
      </c>
      <c r="B39" s="3">
        <v>1</v>
      </c>
      <c r="C39" s="3">
        <v>12</v>
      </c>
      <c r="D39" s="3">
        <v>5000</v>
      </c>
      <c r="E39" s="3" t="s">
        <v>62</v>
      </c>
      <c r="F39" s="3">
        <v>3</v>
      </c>
      <c r="G39" s="3" t="s">
        <v>57</v>
      </c>
      <c r="H39" s="68">
        <v>500</v>
      </c>
      <c r="I39" s="68">
        <v>500</v>
      </c>
      <c r="J39" s="68">
        <v>-590</v>
      </c>
      <c r="K39" s="3" t="s">
        <v>58</v>
      </c>
      <c r="L39" s="3" t="s">
        <v>58</v>
      </c>
      <c r="M39" s="3" t="s">
        <v>58</v>
      </c>
      <c r="N39" s="53" t="s">
        <v>216</v>
      </c>
    </row>
    <row r="40" spans="1:14" x14ac:dyDescent="0.25">
      <c r="A40">
        <v>2018</v>
      </c>
      <c r="B40" s="3">
        <v>2</v>
      </c>
      <c r="C40" s="3">
        <v>12</v>
      </c>
      <c r="D40" s="3">
        <v>5000</v>
      </c>
      <c r="E40" s="3" t="s">
        <v>62</v>
      </c>
      <c r="F40" s="3">
        <v>3</v>
      </c>
      <c r="G40" s="3" t="s">
        <v>57</v>
      </c>
      <c r="H40" s="68">
        <v>450</v>
      </c>
      <c r="I40" s="68">
        <v>450</v>
      </c>
      <c r="J40" s="68">
        <v>-580</v>
      </c>
      <c r="K40" s="3" t="s">
        <v>58</v>
      </c>
      <c r="L40" s="3" t="s">
        <v>58</v>
      </c>
      <c r="M40" s="3" t="s">
        <v>58</v>
      </c>
      <c r="N40" s="53" t="s">
        <v>216</v>
      </c>
    </row>
    <row r="41" spans="1:14" x14ac:dyDescent="0.25">
      <c r="A41">
        <v>2018</v>
      </c>
      <c r="B41" s="3">
        <v>3</v>
      </c>
      <c r="C41" s="3">
        <v>12</v>
      </c>
      <c r="D41" s="3">
        <v>5000</v>
      </c>
      <c r="E41" s="3" t="s">
        <v>62</v>
      </c>
      <c r="F41" s="3">
        <v>2</v>
      </c>
      <c r="G41" s="3" t="s">
        <v>70</v>
      </c>
      <c r="H41" s="68">
        <v>460</v>
      </c>
      <c r="I41" s="68">
        <v>460</v>
      </c>
      <c r="J41" s="68">
        <v>-580</v>
      </c>
      <c r="K41" s="3" t="s">
        <v>58</v>
      </c>
      <c r="L41" s="3" t="s">
        <v>58</v>
      </c>
      <c r="M41" s="3" t="s">
        <v>58</v>
      </c>
      <c r="N41" s="53" t="s">
        <v>216</v>
      </c>
    </row>
    <row r="42" spans="1:14" x14ac:dyDescent="0.25">
      <c r="A42">
        <v>2018</v>
      </c>
      <c r="B42" s="3">
        <v>4</v>
      </c>
      <c r="C42" s="3">
        <v>12</v>
      </c>
      <c r="D42" s="3">
        <v>5000</v>
      </c>
      <c r="E42" s="3" t="s">
        <v>62</v>
      </c>
      <c r="F42" s="3">
        <v>2</v>
      </c>
      <c r="G42" s="3" t="s">
        <v>70</v>
      </c>
      <c r="H42" s="68">
        <v>460</v>
      </c>
      <c r="I42" s="68">
        <v>460</v>
      </c>
      <c r="J42" s="68">
        <v>-580</v>
      </c>
      <c r="K42" s="3" t="s">
        <v>58</v>
      </c>
      <c r="L42" s="3" t="s">
        <v>58</v>
      </c>
      <c r="M42" s="3" t="s">
        <v>58</v>
      </c>
      <c r="N42" s="53" t="s">
        <v>216</v>
      </c>
    </row>
    <row r="43" spans="1:14" x14ac:dyDescent="0.25">
      <c r="A43">
        <v>2018</v>
      </c>
      <c r="B43" s="3">
        <v>5</v>
      </c>
      <c r="C43" s="3">
        <v>12</v>
      </c>
      <c r="D43" s="3">
        <v>5000</v>
      </c>
      <c r="E43" s="3" t="s">
        <v>62</v>
      </c>
      <c r="F43" s="3">
        <v>2</v>
      </c>
      <c r="G43" s="3" t="s">
        <v>70</v>
      </c>
      <c r="H43" s="68">
        <v>460</v>
      </c>
      <c r="I43" s="68">
        <v>460</v>
      </c>
      <c r="J43" s="68">
        <v>-580</v>
      </c>
      <c r="K43" s="3" t="s">
        <v>58</v>
      </c>
      <c r="L43" s="3" t="s">
        <v>58</v>
      </c>
      <c r="M43" s="3" t="s">
        <v>58</v>
      </c>
      <c r="N43" s="53" t="s">
        <v>216</v>
      </c>
    </row>
    <row r="44" spans="1:14" x14ac:dyDescent="0.25">
      <c r="A44">
        <v>2018</v>
      </c>
      <c r="B44" s="3">
        <v>6</v>
      </c>
      <c r="C44" s="3">
        <v>12</v>
      </c>
      <c r="D44" s="3">
        <v>5000</v>
      </c>
      <c r="E44" s="3" t="s">
        <v>62</v>
      </c>
      <c r="F44" s="3">
        <v>2</v>
      </c>
      <c r="G44" s="3" t="s">
        <v>57</v>
      </c>
      <c r="H44" s="68">
        <v>460</v>
      </c>
      <c r="I44" s="68">
        <v>460</v>
      </c>
      <c r="J44" s="68">
        <v>-580</v>
      </c>
      <c r="K44" s="3" t="s">
        <v>58</v>
      </c>
      <c r="L44" s="3" t="s">
        <v>58</v>
      </c>
      <c r="M44" s="3" t="s">
        <v>58</v>
      </c>
      <c r="N44" s="53" t="s">
        <v>216</v>
      </c>
    </row>
    <row r="45" spans="1:14" x14ac:dyDescent="0.25">
      <c r="A45">
        <v>2018</v>
      </c>
      <c r="B45" s="3">
        <v>7</v>
      </c>
      <c r="C45" s="3">
        <v>12</v>
      </c>
      <c r="D45" s="3">
        <v>5000</v>
      </c>
      <c r="E45" s="3" t="s">
        <v>62</v>
      </c>
      <c r="F45" s="3">
        <v>3</v>
      </c>
      <c r="G45" s="3" t="s">
        <v>57</v>
      </c>
      <c r="H45" s="68">
        <v>460</v>
      </c>
      <c r="I45" s="68">
        <v>460</v>
      </c>
      <c r="J45" s="68">
        <v>-580</v>
      </c>
      <c r="K45" s="3" t="s">
        <v>58</v>
      </c>
      <c r="L45" s="3" t="s">
        <v>58</v>
      </c>
      <c r="M45" s="3" t="s">
        <v>58</v>
      </c>
      <c r="N45" s="53" t="s">
        <v>216</v>
      </c>
    </row>
    <row r="46" spans="1:14" x14ac:dyDescent="0.25">
      <c r="A46">
        <v>2018</v>
      </c>
      <c r="B46" s="3">
        <v>8</v>
      </c>
      <c r="C46" s="3">
        <v>12</v>
      </c>
      <c r="D46" s="3">
        <v>5000</v>
      </c>
      <c r="E46" s="3" t="s">
        <v>62</v>
      </c>
      <c r="F46" s="3">
        <v>3</v>
      </c>
      <c r="G46" s="3" t="s">
        <v>57</v>
      </c>
      <c r="H46" s="68">
        <v>460</v>
      </c>
      <c r="I46" s="68">
        <v>460</v>
      </c>
      <c r="J46" s="68">
        <v>-580</v>
      </c>
      <c r="K46" s="3" t="s">
        <v>58</v>
      </c>
      <c r="L46" s="3" t="s">
        <v>58</v>
      </c>
      <c r="M46" s="3" t="s">
        <v>58</v>
      </c>
      <c r="N46" s="53" t="s">
        <v>216</v>
      </c>
    </row>
    <row r="47" spans="1:14" x14ac:dyDescent="0.25">
      <c r="A47">
        <v>2018</v>
      </c>
      <c r="B47" s="3">
        <v>9</v>
      </c>
      <c r="C47" s="3">
        <v>12</v>
      </c>
      <c r="D47" s="3">
        <v>5000</v>
      </c>
      <c r="E47" s="3" t="s">
        <v>62</v>
      </c>
      <c r="F47" s="3">
        <v>3</v>
      </c>
      <c r="G47" s="3" t="s">
        <v>57</v>
      </c>
      <c r="H47" s="68">
        <v>460</v>
      </c>
      <c r="I47" s="68">
        <v>460</v>
      </c>
      <c r="J47" s="68">
        <v>-580</v>
      </c>
      <c r="K47" s="3" t="s">
        <v>58</v>
      </c>
      <c r="L47" s="3" t="s">
        <v>58</v>
      </c>
      <c r="M47" s="3" t="s">
        <v>58</v>
      </c>
      <c r="N47" s="53" t="s">
        <v>216</v>
      </c>
    </row>
    <row r="48" spans="1:14" x14ac:dyDescent="0.25">
      <c r="A48">
        <v>2018</v>
      </c>
      <c r="B48" s="3">
        <v>10</v>
      </c>
      <c r="C48" s="3">
        <v>12</v>
      </c>
      <c r="D48" s="3">
        <v>5000</v>
      </c>
      <c r="E48" s="3" t="s">
        <v>62</v>
      </c>
      <c r="F48" s="3">
        <v>3</v>
      </c>
      <c r="G48" s="3" t="s">
        <v>57</v>
      </c>
      <c r="H48" s="68">
        <v>460</v>
      </c>
      <c r="I48" s="68">
        <v>460</v>
      </c>
      <c r="J48" s="68">
        <v>-580</v>
      </c>
      <c r="K48" s="3" t="s">
        <v>58</v>
      </c>
      <c r="L48" s="3" t="s">
        <v>58</v>
      </c>
      <c r="M48" s="3" t="s">
        <v>58</v>
      </c>
      <c r="N48" s="53" t="s">
        <v>216</v>
      </c>
    </row>
    <row r="49" spans="1:14" x14ac:dyDescent="0.25">
      <c r="A49">
        <v>2018</v>
      </c>
      <c r="B49" s="3">
        <v>11</v>
      </c>
      <c r="C49" s="3">
        <v>12</v>
      </c>
      <c r="D49" s="3">
        <v>5000</v>
      </c>
      <c r="E49" s="3" t="s">
        <v>62</v>
      </c>
      <c r="F49" s="3">
        <v>3</v>
      </c>
      <c r="G49" s="3" t="s">
        <v>57</v>
      </c>
      <c r="H49" s="68">
        <v>460</v>
      </c>
      <c r="I49" s="68">
        <v>460</v>
      </c>
      <c r="J49" s="68">
        <v>-580</v>
      </c>
      <c r="K49" s="3" t="s">
        <v>58</v>
      </c>
      <c r="L49" s="3" t="s">
        <v>58</v>
      </c>
      <c r="M49" s="3" t="s">
        <v>58</v>
      </c>
      <c r="N49" s="53" t="s">
        <v>216</v>
      </c>
    </row>
    <row r="50" spans="1:14" x14ac:dyDescent="0.25">
      <c r="A50" s="46">
        <v>2018</v>
      </c>
      <c r="B50" s="47">
        <v>12</v>
      </c>
      <c r="C50" s="47">
        <v>12</v>
      </c>
      <c r="D50" s="47">
        <v>5000</v>
      </c>
      <c r="E50" s="47" t="s">
        <v>62</v>
      </c>
      <c r="F50" s="47">
        <v>3</v>
      </c>
      <c r="G50" s="47" t="s">
        <v>57</v>
      </c>
      <c r="H50" s="69">
        <v>460</v>
      </c>
      <c r="I50" s="69">
        <v>460</v>
      </c>
      <c r="J50" s="69">
        <v>-580</v>
      </c>
      <c r="K50" s="47" t="s">
        <v>58</v>
      </c>
      <c r="L50" s="47">
        <v>300</v>
      </c>
      <c r="M50" s="47">
        <v>600</v>
      </c>
      <c r="N50" s="55" t="s">
        <v>216</v>
      </c>
    </row>
    <row r="51" spans="1:14" x14ac:dyDescent="0.25">
      <c r="A51">
        <v>2017</v>
      </c>
      <c r="B51" s="3">
        <v>12</v>
      </c>
      <c r="C51" s="3">
        <v>12</v>
      </c>
      <c r="D51" s="3">
        <v>5000</v>
      </c>
      <c r="E51" s="3" t="s">
        <v>62</v>
      </c>
      <c r="F51" s="3">
        <v>3</v>
      </c>
      <c r="G51" s="3" t="s">
        <v>57</v>
      </c>
      <c r="H51" s="68">
        <v>5</v>
      </c>
      <c r="I51" s="68">
        <v>5</v>
      </c>
      <c r="J51" s="68">
        <v>0</v>
      </c>
      <c r="K51" s="3" t="s">
        <v>58</v>
      </c>
      <c r="L51" s="3" t="s">
        <v>58</v>
      </c>
      <c r="M51" s="3" t="s">
        <v>58</v>
      </c>
      <c r="N51" s="53" t="s">
        <v>217</v>
      </c>
    </row>
    <row r="52" spans="1:14" x14ac:dyDescent="0.25">
      <c r="A52">
        <v>2018</v>
      </c>
      <c r="B52" s="3">
        <v>1</v>
      </c>
      <c r="C52" s="3">
        <v>12</v>
      </c>
      <c r="D52" s="3">
        <v>5000</v>
      </c>
      <c r="E52" s="3" t="s">
        <v>62</v>
      </c>
      <c r="F52" s="3">
        <v>3</v>
      </c>
      <c r="G52" s="3" t="s">
        <v>57</v>
      </c>
      <c r="H52" s="68">
        <v>2</v>
      </c>
      <c r="I52" s="68">
        <v>2</v>
      </c>
      <c r="J52" s="68">
        <v>0</v>
      </c>
      <c r="K52" s="3" t="s">
        <v>58</v>
      </c>
      <c r="L52" s="3" t="s">
        <v>58</v>
      </c>
      <c r="M52" s="3" t="s">
        <v>58</v>
      </c>
      <c r="N52" s="53" t="s">
        <v>217</v>
      </c>
    </row>
    <row r="53" spans="1:14" x14ac:dyDescent="0.25">
      <c r="A53">
        <v>2018</v>
      </c>
      <c r="B53" s="3">
        <v>2</v>
      </c>
      <c r="C53" s="3">
        <v>12</v>
      </c>
      <c r="D53" s="3">
        <v>5000</v>
      </c>
      <c r="E53" s="3" t="s">
        <v>62</v>
      </c>
      <c r="F53" s="3">
        <v>3</v>
      </c>
      <c r="G53" s="3" t="s">
        <v>57</v>
      </c>
      <c r="H53" s="68">
        <v>-5</v>
      </c>
      <c r="I53" s="68">
        <v>-5</v>
      </c>
      <c r="J53" s="68">
        <v>0</v>
      </c>
      <c r="K53" s="3" t="s">
        <v>58</v>
      </c>
      <c r="L53" s="3" t="s">
        <v>58</v>
      </c>
      <c r="M53" s="3" t="s">
        <v>58</v>
      </c>
      <c r="N53" s="53" t="s">
        <v>217</v>
      </c>
    </row>
    <row r="54" spans="1:14" x14ac:dyDescent="0.25">
      <c r="A54">
        <v>2018</v>
      </c>
      <c r="B54" s="3">
        <v>3</v>
      </c>
      <c r="C54" s="3">
        <v>12</v>
      </c>
      <c r="D54" s="3">
        <v>5000</v>
      </c>
      <c r="E54" s="3" t="s">
        <v>62</v>
      </c>
      <c r="F54" s="3">
        <v>2</v>
      </c>
      <c r="G54" s="3" t="s">
        <v>57</v>
      </c>
      <c r="H54" s="68">
        <v>3</v>
      </c>
      <c r="I54" s="68">
        <v>3</v>
      </c>
      <c r="J54" s="68">
        <v>0</v>
      </c>
      <c r="K54" s="3" t="s">
        <v>58</v>
      </c>
      <c r="L54" s="3" t="s">
        <v>58</v>
      </c>
      <c r="M54" s="3" t="s">
        <v>58</v>
      </c>
      <c r="N54" s="53" t="s">
        <v>217</v>
      </c>
    </row>
    <row r="55" spans="1:14" x14ac:dyDescent="0.25">
      <c r="A55">
        <v>2018</v>
      </c>
      <c r="B55" s="3">
        <v>4</v>
      </c>
      <c r="C55" s="3">
        <v>12</v>
      </c>
      <c r="D55" s="3">
        <v>5000</v>
      </c>
      <c r="E55" s="3" t="s">
        <v>62</v>
      </c>
      <c r="F55" s="3">
        <v>2</v>
      </c>
      <c r="G55" s="3" t="s">
        <v>57</v>
      </c>
      <c r="H55" s="68">
        <v>-4</v>
      </c>
      <c r="I55" s="68">
        <v>-4</v>
      </c>
      <c r="J55" s="68">
        <v>0</v>
      </c>
      <c r="K55" s="3" t="s">
        <v>58</v>
      </c>
      <c r="L55" s="3" t="s">
        <v>58</v>
      </c>
      <c r="M55" s="3" t="s">
        <v>58</v>
      </c>
      <c r="N55" s="53" t="s">
        <v>217</v>
      </c>
    </row>
    <row r="56" spans="1:14" x14ac:dyDescent="0.25">
      <c r="A56">
        <v>2018</v>
      </c>
      <c r="B56" s="3">
        <v>5</v>
      </c>
      <c r="C56" s="3">
        <v>12</v>
      </c>
      <c r="D56" s="3">
        <v>5000</v>
      </c>
      <c r="E56" s="3" t="s">
        <v>62</v>
      </c>
      <c r="F56" s="3">
        <v>2</v>
      </c>
      <c r="G56" s="3" t="s">
        <v>57</v>
      </c>
      <c r="H56" s="68">
        <v>2</v>
      </c>
      <c r="I56" s="68">
        <v>2</v>
      </c>
      <c r="J56" s="68">
        <v>0</v>
      </c>
      <c r="K56" s="3" t="s">
        <v>58</v>
      </c>
      <c r="L56" s="3" t="s">
        <v>58</v>
      </c>
      <c r="M56" s="3" t="s">
        <v>58</v>
      </c>
      <c r="N56" s="53" t="s">
        <v>217</v>
      </c>
    </row>
    <row r="57" spans="1:14" x14ac:dyDescent="0.25">
      <c r="A57">
        <v>2018</v>
      </c>
      <c r="B57" s="3">
        <v>6</v>
      </c>
      <c r="C57" s="3">
        <v>12</v>
      </c>
      <c r="D57" s="3">
        <v>5000</v>
      </c>
      <c r="E57" s="3" t="s">
        <v>62</v>
      </c>
      <c r="F57" s="3">
        <v>2</v>
      </c>
      <c r="G57" s="3" t="s">
        <v>57</v>
      </c>
      <c r="H57" s="68">
        <v>2</v>
      </c>
      <c r="I57" s="68">
        <v>2</v>
      </c>
      <c r="J57" s="68">
        <v>0</v>
      </c>
      <c r="K57" s="3" t="s">
        <v>58</v>
      </c>
      <c r="L57" s="3" t="s">
        <v>58</v>
      </c>
      <c r="M57" s="3" t="s">
        <v>58</v>
      </c>
      <c r="N57" s="53" t="s">
        <v>217</v>
      </c>
    </row>
    <row r="58" spans="1:14" x14ac:dyDescent="0.25">
      <c r="A58">
        <v>2018</v>
      </c>
      <c r="B58" s="3">
        <v>7</v>
      </c>
      <c r="C58" s="3">
        <v>12</v>
      </c>
      <c r="D58" s="3">
        <v>5000</v>
      </c>
      <c r="E58" s="3" t="s">
        <v>62</v>
      </c>
      <c r="F58" s="3">
        <v>3</v>
      </c>
      <c r="G58" s="3" t="s">
        <v>57</v>
      </c>
      <c r="H58" s="68">
        <v>2</v>
      </c>
      <c r="I58" s="68">
        <v>2</v>
      </c>
      <c r="J58" s="68">
        <v>0</v>
      </c>
      <c r="K58" s="3" t="s">
        <v>58</v>
      </c>
      <c r="L58" s="3" t="s">
        <v>58</v>
      </c>
      <c r="M58" s="3" t="s">
        <v>58</v>
      </c>
      <c r="N58" s="53" t="s">
        <v>217</v>
      </c>
    </row>
    <row r="59" spans="1:14" x14ac:dyDescent="0.25">
      <c r="A59">
        <v>2018</v>
      </c>
      <c r="B59" s="3">
        <v>8</v>
      </c>
      <c r="C59" s="3">
        <v>12</v>
      </c>
      <c r="D59" s="3">
        <v>5000</v>
      </c>
      <c r="E59" s="3" t="s">
        <v>62</v>
      </c>
      <c r="F59" s="3">
        <v>3</v>
      </c>
      <c r="G59" s="3" t="s">
        <v>57</v>
      </c>
      <c r="H59" s="68">
        <v>2</v>
      </c>
      <c r="I59" s="68">
        <v>2</v>
      </c>
      <c r="J59" s="68">
        <v>0</v>
      </c>
      <c r="K59" s="3" t="s">
        <v>58</v>
      </c>
      <c r="L59" s="3" t="s">
        <v>58</v>
      </c>
      <c r="M59" s="3" t="s">
        <v>58</v>
      </c>
      <c r="N59" s="53" t="s">
        <v>217</v>
      </c>
    </row>
    <row r="60" spans="1:14" x14ac:dyDescent="0.25">
      <c r="A60">
        <v>2018</v>
      </c>
      <c r="B60" s="3">
        <v>9</v>
      </c>
      <c r="C60" s="3">
        <v>12</v>
      </c>
      <c r="D60" s="3">
        <v>5000</v>
      </c>
      <c r="E60" s="3" t="s">
        <v>62</v>
      </c>
      <c r="F60" s="3">
        <v>3</v>
      </c>
      <c r="G60" s="3" t="s">
        <v>57</v>
      </c>
      <c r="H60" s="68">
        <v>2</v>
      </c>
      <c r="I60" s="68">
        <v>2</v>
      </c>
      <c r="J60" s="68">
        <v>0</v>
      </c>
      <c r="K60" s="3" t="s">
        <v>58</v>
      </c>
      <c r="L60" s="3" t="s">
        <v>58</v>
      </c>
      <c r="M60" s="3" t="s">
        <v>58</v>
      </c>
      <c r="N60" s="53" t="s">
        <v>217</v>
      </c>
    </row>
    <row r="61" spans="1:14" x14ac:dyDescent="0.25">
      <c r="A61">
        <v>2018</v>
      </c>
      <c r="B61" s="3">
        <v>10</v>
      </c>
      <c r="C61" s="3">
        <v>12</v>
      </c>
      <c r="D61" s="3">
        <v>5000</v>
      </c>
      <c r="E61" s="3" t="s">
        <v>62</v>
      </c>
      <c r="F61" s="3">
        <v>3</v>
      </c>
      <c r="G61" s="3" t="s">
        <v>57</v>
      </c>
      <c r="H61" s="68">
        <v>-1</v>
      </c>
      <c r="I61" s="68">
        <v>-1</v>
      </c>
      <c r="J61" s="68">
        <v>0</v>
      </c>
      <c r="K61" s="3" t="s">
        <v>58</v>
      </c>
      <c r="L61" s="3" t="s">
        <v>58</v>
      </c>
      <c r="M61" s="3" t="s">
        <v>58</v>
      </c>
      <c r="N61" s="53" t="s">
        <v>217</v>
      </c>
    </row>
    <row r="62" spans="1:14" x14ac:dyDescent="0.25">
      <c r="A62">
        <v>2018</v>
      </c>
      <c r="B62" s="3">
        <v>11</v>
      </c>
      <c r="C62" s="3">
        <v>12</v>
      </c>
      <c r="D62" s="3">
        <v>5000</v>
      </c>
      <c r="E62" s="3" t="s">
        <v>62</v>
      </c>
      <c r="F62" s="3">
        <v>3</v>
      </c>
      <c r="G62" s="3" t="s">
        <v>57</v>
      </c>
      <c r="H62" s="68">
        <v>-1</v>
      </c>
      <c r="I62" s="68">
        <v>-1</v>
      </c>
      <c r="J62" s="68">
        <v>0</v>
      </c>
      <c r="K62" s="3" t="s">
        <v>58</v>
      </c>
      <c r="L62" s="3" t="s">
        <v>58</v>
      </c>
      <c r="M62" s="3" t="s">
        <v>58</v>
      </c>
      <c r="N62" s="53" t="s">
        <v>217</v>
      </c>
    </row>
    <row r="63" spans="1:14" x14ac:dyDescent="0.25">
      <c r="A63" s="46">
        <v>2018</v>
      </c>
      <c r="B63" s="47">
        <v>12</v>
      </c>
      <c r="C63" s="47">
        <v>12</v>
      </c>
      <c r="D63" s="47">
        <v>5000</v>
      </c>
      <c r="E63" s="47" t="s">
        <v>62</v>
      </c>
      <c r="F63" s="47">
        <v>3</v>
      </c>
      <c r="G63" s="47" t="s">
        <v>57</v>
      </c>
      <c r="H63" s="69">
        <v>3</v>
      </c>
      <c r="I63" s="69">
        <v>3</v>
      </c>
      <c r="J63" s="69">
        <v>0</v>
      </c>
      <c r="K63" s="47" t="s">
        <v>58</v>
      </c>
      <c r="L63" s="47">
        <v>300</v>
      </c>
      <c r="M63" s="47">
        <v>600</v>
      </c>
      <c r="N63" s="55" t="s">
        <v>217</v>
      </c>
    </row>
    <row r="64" spans="1:14" x14ac:dyDescent="0.25">
      <c r="A64">
        <v>2018</v>
      </c>
      <c r="B64" s="3">
        <v>1</v>
      </c>
      <c r="C64" s="3">
        <v>14</v>
      </c>
      <c r="D64" s="3">
        <v>5000</v>
      </c>
      <c r="E64" s="3" t="s">
        <v>56</v>
      </c>
      <c r="F64" s="3">
        <v>3</v>
      </c>
      <c r="G64" s="3" t="s">
        <v>57</v>
      </c>
      <c r="H64" s="68">
        <v>750</v>
      </c>
      <c r="I64" s="68">
        <v>750</v>
      </c>
      <c r="J64" s="68">
        <v>-300</v>
      </c>
      <c r="K64" s="3" t="s">
        <v>58</v>
      </c>
      <c r="L64" s="3" t="s">
        <v>58</v>
      </c>
      <c r="M64" s="3" t="s">
        <v>58</v>
      </c>
      <c r="N64" s="53" t="s">
        <v>72</v>
      </c>
    </row>
    <row r="65" spans="1:16" x14ac:dyDescent="0.25">
      <c r="A65" s="46">
        <v>2018</v>
      </c>
      <c r="B65" s="47">
        <v>2</v>
      </c>
      <c r="C65" s="47">
        <v>14</v>
      </c>
      <c r="D65" s="47">
        <v>5000</v>
      </c>
      <c r="E65" s="47" t="s">
        <v>56</v>
      </c>
      <c r="F65" s="47" t="s">
        <v>58</v>
      </c>
      <c r="G65" s="47" t="s">
        <v>57</v>
      </c>
      <c r="H65" s="69">
        <v>0</v>
      </c>
      <c r="I65" s="69">
        <v>0</v>
      </c>
      <c r="J65" s="69">
        <v>0</v>
      </c>
      <c r="K65" s="47">
        <v>400</v>
      </c>
      <c r="L65" s="47" t="s">
        <v>58</v>
      </c>
      <c r="M65" s="47" t="s">
        <v>58</v>
      </c>
      <c r="N65" s="55" t="s">
        <v>72</v>
      </c>
    </row>
    <row r="66" spans="1:16" x14ac:dyDescent="0.25">
      <c r="A66" s="57">
        <v>2018</v>
      </c>
      <c r="B66" s="58">
        <v>1</v>
      </c>
      <c r="C66" s="58">
        <v>15</v>
      </c>
      <c r="D66" s="58">
        <v>5000</v>
      </c>
      <c r="E66" s="58" t="s">
        <v>62</v>
      </c>
      <c r="F66" s="58">
        <v>1</v>
      </c>
      <c r="G66" s="58" t="s">
        <v>57</v>
      </c>
      <c r="H66" s="70">
        <v>1000</v>
      </c>
      <c r="I66" s="70">
        <v>950</v>
      </c>
      <c r="J66" s="70">
        <v>-9.5</v>
      </c>
      <c r="K66" s="58" t="s">
        <v>58</v>
      </c>
      <c r="L66" s="58" t="s">
        <v>58</v>
      </c>
      <c r="M66" s="58" t="s">
        <v>58</v>
      </c>
      <c r="N66" s="59" t="s">
        <v>72</v>
      </c>
    </row>
    <row r="67" spans="1:16" x14ac:dyDescent="0.25">
      <c r="A67" s="60">
        <v>2018</v>
      </c>
      <c r="B67" s="61">
        <v>1</v>
      </c>
      <c r="C67" s="61">
        <v>16</v>
      </c>
      <c r="D67" s="61">
        <v>5000</v>
      </c>
      <c r="E67" s="61" t="s">
        <v>56</v>
      </c>
      <c r="F67" s="61" t="s">
        <v>58</v>
      </c>
      <c r="G67" s="61" t="s">
        <v>57</v>
      </c>
      <c r="H67" s="71">
        <v>100</v>
      </c>
      <c r="I67" s="71">
        <v>110</v>
      </c>
      <c r="J67" s="71">
        <v>-2</v>
      </c>
      <c r="K67" s="61" t="s">
        <v>58</v>
      </c>
      <c r="L67" s="61" t="s">
        <v>58</v>
      </c>
      <c r="M67" s="61" t="s">
        <v>58</v>
      </c>
      <c r="N67" s="62" t="s">
        <v>72</v>
      </c>
    </row>
    <row r="68" spans="1:16" x14ac:dyDescent="0.25">
      <c r="A68" s="46">
        <v>2018</v>
      </c>
      <c r="B68" s="47">
        <v>2</v>
      </c>
      <c r="C68" s="47">
        <v>16</v>
      </c>
      <c r="D68" s="47">
        <v>5000</v>
      </c>
      <c r="E68" s="47" t="s">
        <v>56</v>
      </c>
      <c r="F68" s="47">
        <v>2</v>
      </c>
      <c r="G68" s="47" t="s">
        <v>57</v>
      </c>
      <c r="H68" s="69">
        <v>-1500</v>
      </c>
      <c r="I68" s="69">
        <v>-1500</v>
      </c>
      <c r="J68" s="69">
        <v>0.02</v>
      </c>
      <c r="K68" s="47" t="s">
        <v>58</v>
      </c>
      <c r="L68" s="47" t="s">
        <v>58</v>
      </c>
      <c r="M68" s="47" t="s">
        <v>58</v>
      </c>
      <c r="N68" s="55" t="s">
        <v>72</v>
      </c>
    </row>
    <row r="69" spans="1:16" x14ac:dyDescent="0.25">
      <c r="A69" s="63">
        <v>2018</v>
      </c>
      <c r="B69" s="64">
        <v>2</v>
      </c>
      <c r="C69" s="64">
        <v>17</v>
      </c>
      <c r="D69" s="64">
        <v>5000</v>
      </c>
      <c r="E69" s="64" t="s">
        <v>62</v>
      </c>
      <c r="F69" s="64">
        <v>1</v>
      </c>
      <c r="G69" s="64" t="s">
        <v>57</v>
      </c>
      <c r="H69" s="72">
        <v>900</v>
      </c>
      <c r="I69" s="72">
        <v>950</v>
      </c>
      <c r="J69" s="72">
        <v>-9.5</v>
      </c>
      <c r="K69" s="64" t="s">
        <v>58</v>
      </c>
      <c r="L69" s="64" t="s">
        <v>58</v>
      </c>
      <c r="M69" s="64" t="s">
        <v>58</v>
      </c>
      <c r="N69" s="65" t="s">
        <v>72</v>
      </c>
    </row>
    <row r="70" spans="1:16" x14ac:dyDescent="0.25">
      <c r="A70">
        <v>2018</v>
      </c>
      <c r="B70" s="3">
        <v>1</v>
      </c>
      <c r="C70" s="3">
        <v>18</v>
      </c>
      <c r="D70" s="3">
        <v>5000</v>
      </c>
      <c r="E70" s="3" t="s">
        <v>56</v>
      </c>
      <c r="F70" s="3">
        <v>3</v>
      </c>
      <c r="G70" s="3" t="s">
        <v>70</v>
      </c>
      <c r="H70" s="68">
        <v>1000</v>
      </c>
      <c r="I70" s="68">
        <v>450</v>
      </c>
      <c r="J70" s="68">
        <v>-225</v>
      </c>
      <c r="K70" s="3" t="s">
        <v>58</v>
      </c>
      <c r="L70" s="3" t="s">
        <v>58</v>
      </c>
      <c r="M70" s="3" t="s">
        <v>58</v>
      </c>
      <c r="N70" s="53" t="s">
        <v>72</v>
      </c>
    </row>
    <row r="71" spans="1:16" x14ac:dyDescent="0.25">
      <c r="A71" s="46">
        <v>2018</v>
      </c>
      <c r="B71" s="47">
        <v>2</v>
      </c>
      <c r="C71" s="47">
        <v>18</v>
      </c>
      <c r="D71" s="47">
        <v>5000</v>
      </c>
      <c r="E71" s="47" t="s">
        <v>56</v>
      </c>
      <c r="F71" s="47">
        <v>2</v>
      </c>
      <c r="G71" s="47" t="s">
        <v>57</v>
      </c>
      <c r="H71" s="69">
        <v>500</v>
      </c>
      <c r="I71" s="69">
        <v>550</v>
      </c>
      <c r="J71" s="69">
        <v>-55</v>
      </c>
      <c r="K71" s="47" t="s">
        <v>58</v>
      </c>
      <c r="L71" s="47" t="s">
        <v>58</v>
      </c>
      <c r="M71" s="47" t="s">
        <v>58</v>
      </c>
      <c r="N71" s="55" t="s">
        <v>72</v>
      </c>
    </row>
    <row r="72" spans="1:16" x14ac:dyDescent="0.25">
      <c r="A72">
        <v>2018</v>
      </c>
      <c r="B72" s="3">
        <v>1</v>
      </c>
      <c r="C72" s="3">
        <v>19</v>
      </c>
      <c r="D72" s="3">
        <v>5000</v>
      </c>
      <c r="E72" s="3" t="s">
        <v>62</v>
      </c>
      <c r="F72" s="3">
        <v>3</v>
      </c>
      <c r="G72" s="3" t="s">
        <v>70</v>
      </c>
      <c r="H72" s="68">
        <v>1000</v>
      </c>
      <c r="I72" s="68">
        <v>1000</v>
      </c>
      <c r="J72" s="68">
        <v>-500</v>
      </c>
      <c r="K72" s="3" t="s">
        <v>58</v>
      </c>
      <c r="L72" s="3" t="s">
        <v>58</v>
      </c>
      <c r="M72" s="3" t="s">
        <v>58</v>
      </c>
      <c r="N72" s="53" t="s">
        <v>72</v>
      </c>
    </row>
    <row r="73" spans="1:16" x14ac:dyDescent="0.25">
      <c r="A73" s="46">
        <v>2018</v>
      </c>
      <c r="B73" s="47">
        <v>2</v>
      </c>
      <c r="C73" s="47">
        <v>19</v>
      </c>
      <c r="D73" s="47">
        <v>5000</v>
      </c>
      <c r="E73" s="47" t="s">
        <v>62</v>
      </c>
      <c r="F73" s="47">
        <v>2</v>
      </c>
      <c r="G73" s="47" t="s">
        <v>57</v>
      </c>
      <c r="H73" s="69">
        <v>500</v>
      </c>
      <c r="I73" s="69">
        <v>550</v>
      </c>
      <c r="J73" s="69">
        <v>-110</v>
      </c>
      <c r="K73" s="47" t="s">
        <v>58</v>
      </c>
      <c r="L73" s="47" t="s">
        <v>58</v>
      </c>
      <c r="M73" s="47" t="s">
        <v>58</v>
      </c>
      <c r="N73" s="55" t="s">
        <v>72</v>
      </c>
    </row>
    <row r="74" spans="1:16" x14ac:dyDescent="0.25">
      <c r="A74">
        <v>2018</v>
      </c>
      <c r="B74" s="3">
        <v>1</v>
      </c>
      <c r="C74" s="3">
        <v>20</v>
      </c>
      <c r="D74" s="3">
        <v>5000</v>
      </c>
      <c r="E74" s="3" t="s">
        <v>56</v>
      </c>
      <c r="F74" s="3">
        <v>3</v>
      </c>
      <c r="G74" s="3" t="s">
        <v>57</v>
      </c>
      <c r="H74" s="68">
        <v>1250</v>
      </c>
      <c r="I74" s="68">
        <v>1250</v>
      </c>
      <c r="J74" s="68">
        <v>0.02</v>
      </c>
      <c r="K74" s="3" t="s">
        <v>58</v>
      </c>
      <c r="L74" s="3" t="s">
        <v>58</v>
      </c>
      <c r="M74" s="3" t="s">
        <v>58</v>
      </c>
      <c r="N74" s="53" t="s">
        <v>72</v>
      </c>
    </row>
    <row r="75" spans="1:16" x14ac:dyDescent="0.25">
      <c r="A75" s="46">
        <v>2018</v>
      </c>
      <c r="B75" s="47">
        <v>2</v>
      </c>
      <c r="C75" s="47">
        <v>20</v>
      </c>
      <c r="D75" s="47">
        <v>5000</v>
      </c>
      <c r="E75" s="47" t="s">
        <v>56</v>
      </c>
      <c r="F75" s="47">
        <v>3</v>
      </c>
      <c r="G75" s="47" t="s">
        <v>57</v>
      </c>
      <c r="H75" s="69">
        <v>1000</v>
      </c>
      <c r="I75" s="69">
        <v>1000</v>
      </c>
      <c r="J75" s="69">
        <v>0.02</v>
      </c>
      <c r="K75" s="47" t="s">
        <v>58</v>
      </c>
      <c r="L75" s="47" t="s">
        <v>58</v>
      </c>
      <c r="M75" s="47" t="s">
        <v>58</v>
      </c>
      <c r="N75" s="55" t="s">
        <v>72</v>
      </c>
    </row>
    <row r="76" spans="1:16" x14ac:dyDescent="0.25">
      <c r="A76">
        <v>2018</v>
      </c>
      <c r="B76" s="3">
        <v>1</v>
      </c>
      <c r="C76" s="3">
        <v>21</v>
      </c>
      <c r="D76" s="3">
        <v>5000</v>
      </c>
      <c r="E76" s="3" t="s">
        <v>62</v>
      </c>
      <c r="F76" s="3">
        <v>1</v>
      </c>
      <c r="G76" s="3" t="s">
        <v>57</v>
      </c>
      <c r="H76" s="68">
        <v>0.01</v>
      </c>
      <c r="I76" s="68">
        <v>0.01</v>
      </c>
      <c r="J76" s="68">
        <v>2</v>
      </c>
      <c r="K76" s="3" t="s">
        <v>58</v>
      </c>
      <c r="L76" s="3" t="s">
        <v>58</v>
      </c>
      <c r="M76" s="3" t="s">
        <v>58</v>
      </c>
      <c r="N76" s="53" t="s">
        <v>72</v>
      </c>
    </row>
    <row r="77" spans="1:16" x14ac:dyDescent="0.25">
      <c r="A77" s="46">
        <v>2018</v>
      </c>
      <c r="B77" s="47">
        <v>2</v>
      </c>
      <c r="C77" s="47">
        <v>21</v>
      </c>
      <c r="D77" s="47">
        <v>5000</v>
      </c>
      <c r="E77" s="47" t="s">
        <v>62</v>
      </c>
      <c r="F77" s="47">
        <v>1</v>
      </c>
      <c r="G77" s="47" t="s">
        <v>57</v>
      </c>
      <c r="H77" s="69">
        <v>5</v>
      </c>
      <c r="I77" s="69">
        <v>5</v>
      </c>
      <c r="J77" s="69">
        <v>1</v>
      </c>
      <c r="K77" s="47" t="s">
        <v>58</v>
      </c>
      <c r="L77" s="47" t="s">
        <v>58</v>
      </c>
      <c r="M77" s="47" t="s">
        <v>58</v>
      </c>
      <c r="N77" s="55" t="s">
        <v>72</v>
      </c>
    </row>
    <row r="78" spans="1:16" x14ac:dyDescent="0.25">
      <c r="A78">
        <v>2017</v>
      </c>
      <c r="B78" s="3">
        <v>12</v>
      </c>
      <c r="C78" s="3">
        <v>22</v>
      </c>
      <c r="D78" s="3">
        <v>1000</v>
      </c>
      <c r="E78" s="3" t="s">
        <v>56</v>
      </c>
      <c r="F78" s="3">
        <v>1</v>
      </c>
      <c r="G78" s="3" t="s">
        <v>57</v>
      </c>
      <c r="H78" s="68">
        <v>1000000</v>
      </c>
      <c r="I78" s="68">
        <v>1000000</v>
      </c>
      <c r="J78" s="68">
        <f>I78*-F78/10</f>
        <v>-100000</v>
      </c>
      <c r="K78" s="3" t="s">
        <v>58</v>
      </c>
      <c r="L78" s="3" t="s">
        <v>58</v>
      </c>
      <c r="M78" s="3" t="s">
        <v>58</v>
      </c>
      <c r="N78" s="56" t="s">
        <v>214</v>
      </c>
      <c r="P78" s="73"/>
    </row>
    <row r="79" spans="1:16" x14ac:dyDescent="0.25">
      <c r="A79">
        <v>2018</v>
      </c>
      <c r="B79" s="3">
        <v>1</v>
      </c>
      <c r="C79" s="3">
        <v>22</v>
      </c>
      <c r="D79" s="3">
        <v>1000</v>
      </c>
      <c r="E79" s="3" t="s">
        <v>56</v>
      </c>
      <c r="F79" s="3">
        <v>1</v>
      </c>
      <c r="G79" s="3" t="s">
        <v>57</v>
      </c>
      <c r="H79" s="68">
        <v>1200000</v>
      </c>
      <c r="I79" s="68">
        <v>1200000</v>
      </c>
      <c r="J79" s="68">
        <f t="shared" ref="J79:J103" si="0">I79*-F79/10</f>
        <v>-120000</v>
      </c>
      <c r="K79" s="3" t="s">
        <v>58</v>
      </c>
      <c r="L79" s="3" t="s">
        <v>58</v>
      </c>
      <c r="M79" s="3" t="s">
        <v>58</v>
      </c>
      <c r="N79" s="56" t="s">
        <v>214</v>
      </c>
      <c r="P79" s="73"/>
    </row>
    <row r="80" spans="1:16" x14ac:dyDescent="0.25">
      <c r="A80">
        <v>2018</v>
      </c>
      <c r="B80" s="3">
        <v>2</v>
      </c>
      <c r="C80" s="3">
        <v>22</v>
      </c>
      <c r="D80" s="3">
        <v>1000</v>
      </c>
      <c r="E80" s="3" t="s">
        <v>56</v>
      </c>
      <c r="F80" s="3">
        <v>2</v>
      </c>
      <c r="G80" s="3" t="s">
        <v>57</v>
      </c>
      <c r="H80" s="68">
        <v>1300000</v>
      </c>
      <c r="I80" s="68">
        <v>1300000</v>
      </c>
      <c r="J80" s="68">
        <f t="shared" si="0"/>
        <v>-260000</v>
      </c>
      <c r="K80" s="3" t="s">
        <v>58</v>
      </c>
      <c r="L80" s="3" t="s">
        <v>58</v>
      </c>
      <c r="M80" s="3" t="s">
        <v>58</v>
      </c>
      <c r="N80" s="56" t="s">
        <v>214</v>
      </c>
      <c r="P80" s="73"/>
    </row>
    <row r="81" spans="1:16" x14ac:dyDescent="0.25">
      <c r="A81">
        <v>2018</v>
      </c>
      <c r="B81" s="3">
        <v>3</v>
      </c>
      <c r="C81" s="3">
        <v>22</v>
      </c>
      <c r="D81" s="3">
        <v>1000</v>
      </c>
      <c r="E81" s="3" t="s">
        <v>56</v>
      </c>
      <c r="F81" s="3">
        <v>2</v>
      </c>
      <c r="G81" s="3" t="s">
        <v>57</v>
      </c>
      <c r="H81" s="68">
        <v>1100000</v>
      </c>
      <c r="I81" s="68">
        <v>1100000</v>
      </c>
      <c r="J81" s="68">
        <f t="shared" si="0"/>
        <v>-220000</v>
      </c>
      <c r="K81" s="3" t="s">
        <v>58</v>
      </c>
      <c r="L81" s="3" t="s">
        <v>58</v>
      </c>
      <c r="M81" s="3" t="s">
        <v>58</v>
      </c>
      <c r="N81" s="56" t="s">
        <v>214</v>
      </c>
      <c r="P81" s="73"/>
    </row>
    <row r="82" spans="1:16" x14ac:dyDescent="0.25">
      <c r="A82">
        <v>2018</v>
      </c>
      <c r="B82" s="3">
        <v>4</v>
      </c>
      <c r="C82" s="3">
        <v>22</v>
      </c>
      <c r="D82" s="3">
        <v>1000</v>
      </c>
      <c r="E82" s="3" t="s">
        <v>56</v>
      </c>
      <c r="F82" s="3">
        <v>3</v>
      </c>
      <c r="G82" s="3" t="s">
        <v>57</v>
      </c>
      <c r="H82" s="68">
        <v>900000</v>
      </c>
      <c r="I82" s="68">
        <v>900000</v>
      </c>
      <c r="J82" s="68">
        <f t="shared" si="0"/>
        <v>-270000</v>
      </c>
      <c r="K82" s="3" t="s">
        <v>58</v>
      </c>
      <c r="L82" s="3" t="s">
        <v>58</v>
      </c>
      <c r="M82" s="3" t="s">
        <v>58</v>
      </c>
      <c r="N82" s="56" t="s">
        <v>214</v>
      </c>
      <c r="P82" s="73"/>
    </row>
    <row r="83" spans="1:16" x14ac:dyDescent="0.25">
      <c r="A83">
        <v>2018</v>
      </c>
      <c r="B83" s="3">
        <v>5</v>
      </c>
      <c r="C83" s="3">
        <v>22</v>
      </c>
      <c r="D83" s="3">
        <v>1000</v>
      </c>
      <c r="E83" s="3" t="s">
        <v>56</v>
      </c>
      <c r="F83" s="3">
        <v>3</v>
      </c>
      <c r="G83" s="3" t="s">
        <v>57</v>
      </c>
      <c r="H83" s="68">
        <v>800000</v>
      </c>
      <c r="I83" s="68">
        <v>800000</v>
      </c>
      <c r="J83" s="68">
        <f t="shared" si="0"/>
        <v>-240000</v>
      </c>
      <c r="K83" s="3" t="s">
        <v>58</v>
      </c>
      <c r="L83" s="3" t="s">
        <v>58</v>
      </c>
      <c r="M83" s="3" t="s">
        <v>58</v>
      </c>
      <c r="N83" s="56" t="s">
        <v>214</v>
      </c>
      <c r="P83" s="73"/>
    </row>
    <row r="84" spans="1:16" x14ac:dyDescent="0.25">
      <c r="A84">
        <v>2018</v>
      </c>
      <c r="B84" s="3">
        <v>6</v>
      </c>
      <c r="C84" s="3">
        <v>22</v>
      </c>
      <c r="D84" s="3">
        <v>1000</v>
      </c>
      <c r="E84" s="3" t="s">
        <v>56</v>
      </c>
      <c r="F84" s="3">
        <v>3</v>
      </c>
      <c r="G84" s="3" t="s">
        <v>57</v>
      </c>
      <c r="H84" s="68">
        <v>1100000</v>
      </c>
      <c r="I84" s="68">
        <v>1100000</v>
      </c>
      <c r="J84" s="68">
        <f t="shared" si="0"/>
        <v>-330000</v>
      </c>
      <c r="K84" s="3" t="s">
        <v>58</v>
      </c>
      <c r="L84" s="3" t="s">
        <v>58</v>
      </c>
      <c r="M84" s="3" t="s">
        <v>58</v>
      </c>
      <c r="N84" s="56" t="s">
        <v>214</v>
      </c>
      <c r="P84" s="73"/>
    </row>
    <row r="85" spans="1:16" x14ac:dyDescent="0.25">
      <c r="A85">
        <v>2018</v>
      </c>
      <c r="B85" s="3">
        <v>7</v>
      </c>
      <c r="C85" s="3">
        <v>22</v>
      </c>
      <c r="D85" s="3">
        <v>1000</v>
      </c>
      <c r="E85" s="3" t="s">
        <v>56</v>
      </c>
      <c r="F85" s="3">
        <v>2</v>
      </c>
      <c r="G85" s="3" t="s">
        <v>57</v>
      </c>
      <c r="H85" s="68">
        <v>900000</v>
      </c>
      <c r="I85" s="68">
        <v>900000</v>
      </c>
      <c r="J85" s="68">
        <f t="shared" si="0"/>
        <v>-180000</v>
      </c>
      <c r="K85" s="3" t="s">
        <v>58</v>
      </c>
      <c r="L85" s="3" t="s">
        <v>58</v>
      </c>
      <c r="M85" s="3" t="s">
        <v>58</v>
      </c>
      <c r="N85" s="56" t="s">
        <v>214</v>
      </c>
      <c r="P85" s="73"/>
    </row>
    <row r="86" spans="1:16" x14ac:dyDescent="0.25">
      <c r="A86">
        <v>2018</v>
      </c>
      <c r="B86" s="3">
        <v>8</v>
      </c>
      <c r="C86" s="3">
        <v>22</v>
      </c>
      <c r="D86" s="3">
        <v>1000</v>
      </c>
      <c r="E86" s="3" t="s">
        <v>56</v>
      </c>
      <c r="F86" s="3">
        <v>2</v>
      </c>
      <c r="G86" s="3" t="s">
        <v>57</v>
      </c>
      <c r="H86" s="68">
        <v>800000</v>
      </c>
      <c r="I86" s="68">
        <v>800000</v>
      </c>
      <c r="J86" s="68">
        <f t="shared" si="0"/>
        <v>-160000</v>
      </c>
      <c r="K86" s="3" t="s">
        <v>58</v>
      </c>
      <c r="L86" s="3" t="s">
        <v>58</v>
      </c>
      <c r="M86" s="3" t="s">
        <v>58</v>
      </c>
      <c r="N86" s="56" t="s">
        <v>214</v>
      </c>
      <c r="P86" s="73"/>
    </row>
    <row r="87" spans="1:16" x14ac:dyDescent="0.25">
      <c r="A87">
        <v>2018</v>
      </c>
      <c r="B87" s="3">
        <v>9</v>
      </c>
      <c r="C87" s="3">
        <v>22</v>
      </c>
      <c r="D87" s="3">
        <v>1000</v>
      </c>
      <c r="E87" s="3" t="s">
        <v>56</v>
      </c>
      <c r="F87" s="3">
        <v>2</v>
      </c>
      <c r="G87" s="3" t="s">
        <v>57</v>
      </c>
      <c r="H87" s="68">
        <v>1200000</v>
      </c>
      <c r="I87" s="68">
        <v>1200000</v>
      </c>
      <c r="J87" s="68">
        <f t="shared" si="0"/>
        <v>-240000</v>
      </c>
      <c r="K87" s="3" t="s">
        <v>58</v>
      </c>
      <c r="L87" s="3" t="s">
        <v>58</v>
      </c>
      <c r="M87" s="3" t="s">
        <v>58</v>
      </c>
      <c r="N87" s="56" t="s">
        <v>214</v>
      </c>
      <c r="P87" s="73"/>
    </row>
    <row r="88" spans="1:16" x14ac:dyDescent="0.25">
      <c r="A88">
        <v>2018</v>
      </c>
      <c r="B88" s="3">
        <v>10</v>
      </c>
      <c r="C88" s="3">
        <v>22</v>
      </c>
      <c r="D88" s="3">
        <v>1000</v>
      </c>
      <c r="E88" s="3" t="s">
        <v>56</v>
      </c>
      <c r="F88" s="3">
        <v>1</v>
      </c>
      <c r="G88" s="3" t="s">
        <v>57</v>
      </c>
      <c r="H88" s="68">
        <v>800000</v>
      </c>
      <c r="I88" s="68">
        <v>800000</v>
      </c>
      <c r="J88" s="68">
        <f t="shared" si="0"/>
        <v>-80000</v>
      </c>
      <c r="K88" s="3" t="s">
        <v>58</v>
      </c>
      <c r="L88" s="3" t="s">
        <v>58</v>
      </c>
      <c r="M88" s="3" t="s">
        <v>58</v>
      </c>
      <c r="N88" s="56" t="s">
        <v>214</v>
      </c>
      <c r="P88" s="73"/>
    </row>
    <row r="89" spans="1:16" x14ac:dyDescent="0.25">
      <c r="A89">
        <v>2018</v>
      </c>
      <c r="B89" s="3">
        <v>11</v>
      </c>
      <c r="C89" s="3">
        <v>22</v>
      </c>
      <c r="D89" s="3">
        <v>1000</v>
      </c>
      <c r="E89" s="3" t="s">
        <v>56</v>
      </c>
      <c r="F89" s="3">
        <v>1</v>
      </c>
      <c r="G89" s="3" t="s">
        <v>57</v>
      </c>
      <c r="H89" s="68">
        <v>600000</v>
      </c>
      <c r="I89" s="68">
        <v>600000</v>
      </c>
      <c r="J89" s="68">
        <f t="shared" si="0"/>
        <v>-60000</v>
      </c>
      <c r="K89" s="3" t="s">
        <v>58</v>
      </c>
      <c r="L89" s="3" t="s">
        <v>58</v>
      </c>
      <c r="M89" s="3" t="s">
        <v>58</v>
      </c>
      <c r="N89" s="56" t="s">
        <v>214</v>
      </c>
      <c r="P89" s="73"/>
    </row>
    <row r="90" spans="1:16" x14ac:dyDescent="0.25">
      <c r="A90" s="46">
        <v>2018</v>
      </c>
      <c r="B90" s="47">
        <v>12</v>
      </c>
      <c r="C90" s="47">
        <v>22</v>
      </c>
      <c r="D90" s="47">
        <v>1000</v>
      </c>
      <c r="E90" s="47" t="s">
        <v>56</v>
      </c>
      <c r="F90" s="47">
        <v>1</v>
      </c>
      <c r="G90" s="47" t="s">
        <v>57</v>
      </c>
      <c r="H90" s="69">
        <v>400000</v>
      </c>
      <c r="I90" s="69">
        <v>400000</v>
      </c>
      <c r="J90" s="69">
        <f t="shared" si="0"/>
        <v>-40000</v>
      </c>
      <c r="K90" s="47" t="s">
        <v>58</v>
      </c>
      <c r="L90" s="47" t="s">
        <v>58</v>
      </c>
      <c r="M90" s="47" t="s">
        <v>58</v>
      </c>
      <c r="N90" s="66" t="s">
        <v>214</v>
      </c>
      <c r="P90" s="73"/>
    </row>
    <row r="91" spans="1:16" x14ac:dyDescent="0.25">
      <c r="A91">
        <v>2017</v>
      </c>
      <c r="B91" s="3">
        <v>12</v>
      </c>
      <c r="C91" s="3">
        <v>23</v>
      </c>
      <c r="D91" s="3">
        <v>1200</v>
      </c>
      <c r="E91" s="3" t="s">
        <v>56</v>
      </c>
      <c r="F91" s="3">
        <v>1</v>
      </c>
      <c r="G91" s="3" t="s">
        <v>57</v>
      </c>
      <c r="H91" s="68">
        <v>0</v>
      </c>
      <c r="I91" s="68">
        <v>0</v>
      </c>
      <c r="J91" s="68">
        <f t="shared" si="0"/>
        <v>0</v>
      </c>
      <c r="K91" s="3" t="s">
        <v>58</v>
      </c>
      <c r="L91" s="3" t="s">
        <v>58</v>
      </c>
      <c r="M91" s="3" t="s">
        <v>58</v>
      </c>
      <c r="N91" s="56" t="s">
        <v>214</v>
      </c>
    </row>
    <row r="92" spans="1:16" x14ac:dyDescent="0.25">
      <c r="A92">
        <v>2018</v>
      </c>
      <c r="B92" s="3">
        <v>1</v>
      </c>
      <c r="C92" s="3">
        <v>23</v>
      </c>
      <c r="D92" s="3">
        <v>1200</v>
      </c>
      <c r="E92" s="3" t="s">
        <v>56</v>
      </c>
      <c r="F92" s="3">
        <v>1</v>
      </c>
      <c r="G92" s="3" t="s">
        <v>57</v>
      </c>
      <c r="H92" s="68">
        <v>1200000</v>
      </c>
      <c r="I92" s="68">
        <v>1200000</v>
      </c>
      <c r="J92" s="68">
        <f t="shared" si="0"/>
        <v>-120000</v>
      </c>
      <c r="K92" s="3" t="s">
        <v>58</v>
      </c>
      <c r="L92" s="3" t="s">
        <v>58</v>
      </c>
      <c r="M92" s="3" t="s">
        <v>58</v>
      </c>
      <c r="N92" s="56" t="s">
        <v>214</v>
      </c>
    </row>
    <row r="93" spans="1:16" x14ac:dyDescent="0.25">
      <c r="A93">
        <v>2018</v>
      </c>
      <c r="B93" s="3">
        <v>2</v>
      </c>
      <c r="C93" s="3">
        <v>23</v>
      </c>
      <c r="D93" s="3">
        <v>1200</v>
      </c>
      <c r="E93" s="3" t="s">
        <v>56</v>
      </c>
      <c r="F93" s="3">
        <v>2</v>
      </c>
      <c r="G93" s="3" t="s">
        <v>57</v>
      </c>
      <c r="H93" s="68">
        <v>0</v>
      </c>
      <c r="I93" s="68">
        <v>0</v>
      </c>
      <c r="J93" s="68">
        <f t="shared" si="0"/>
        <v>0</v>
      </c>
      <c r="K93" s="3" t="s">
        <v>58</v>
      </c>
      <c r="L93" s="3" t="s">
        <v>58</v>
      </c>
      <c r="M93" s="3" t="s">
        <v>58</v>
      </c>
      <c r="N93" s="56" t="s">
        <v>214</v>
      </c>
    </row>
    <row r="94" spans="1:16" x14ac:dyDescent="0.25">
      <c r="A94">
        <v>2018</v>
      </c>
      <c r="B94" s="3">
        <v>3</v>
      </c>
      <c r="C94" s="3">
        <v>23</v>
      </c>
      <c r="D94" s="3">
        <v>1200</v>
      </c>
      <c r="E94" s="3" t="s">
        <v>56</v>
      </c>
      <c r="F94" s="3">
        <v>2</v>
      </c>
      <c r="G94" s="3" t="s">
        <v>57</v>
      </c>
      <c r="H94" s="68">
        <v>1100000</v>
      </c>
      <c r="I94" s="68">
        <v>1100000</v>
      </c>
      <c r="J94" s="68">
        <f t="shared" si="0"/>
        <v>-220000</v>
      </c>
      <c r="K94" s="3" t="s">
        <v>58</v>
      </c>
      <c r="L94" s="3" t="s">
        <v>58</v>
      </c>
      <c r="M94" s="3" t="s">
        <v>58</v>
      </c>
      <c r="N94" s="56" t="s">
        <v>214</v>
      </c>
    </row>
    <row r="95" spans="1:16" x14ac:dyDescent="0.25">
      <c r="A95">
        <v>2018</v>
      </c>
      <c r="B95" s="3">
        <v>4</v>
      </c>
      <c r="C95" s="3">
        <v>23</v>
      </c>
      <c r="D95" s="3">
        <v>1200</v>
      </c>
      <c r="E95" s="3" t="s">
        <v>56</v>
      </c>
      <c r="F95" s="3">
        <v>3</v>
      </c>
      <c r="G95" s="3" t="s">
        <v>57</v>
      </c>
      <c r="H95" s="68">
        <v>900000</v>
      </c>
      <c r="I95" s="68">
        <v>900000</v>
      </c>
      <c r="J95" s="68">
        <f t="shared" si="0"/>
        <v>-270000</v>
      </c>
      <c r="K95" s="3" t="s">
        <v>58</v>
      </c>
      <c r="L95" s="3" t="s">
        <v>58</v>
      </c>
      <c r="M95" s="3" t="s">
        <v>58</v>
      </c>
      <c r="N95" s="56" t="s">
        <v>214</v>
      </c>
    </row>
    <row r="96" spans="1:16" x14ac:dyDescent="0.25">
      <c r="A96">
        <v>2018</v>
      </c>
      <c r="B96" s="3">
        <v>5</v>
      </c>
      <c r="C96" s="3">
        <v>23</v>
      </c>
      <c r="D96" s="3">
        <v>1200</v>
      </c>
      <c r="E96" s="3" t="s">
        <v>56</v>
      </c>
      <c r="F96" s="3">
        <v>3</v>
      </c>
      <c r="G96" s="3" t="s">
        <v>57</v>
      </c>
      <c r="H96" s="68">
        <v>0</v>
      </c>
      <c r="I96" s="68">
        <v>0</v>
      </c>
      <c r="J96" s="68">
        <f t="shared" si="0"/>
        <v>0</v>
      </c>
      <c r="K96" s="3" t="s">
        <v>58</v>
      </c>
      <c r="L96" s="3" t="s">
        <v>58</v>
      </c>
      <c r="M96" s="3" t="s">
        <v>58</v>
      </c>
      <c r="N96" s="56" t="s">
        <v>214</v>
      </c>
    </row>
    <row r="97" spans="1:14" x14ac:dyDescent="0.25">
      <c r="A97">
        <v>2018</v>
      </c>
      <c r="B97" s="3">
        <v>6</v>
      </c>
      <c r="C97" s="3">
        <v>23</v>
      </c>
      <c r="D97" s="3">
        <v>1200</v>
      </c>
      <c r="E97" s="3" t="s">
        <v>56</v>
      </c>
      <c r="F97" s="3">
        <v>3</v>
      </c>
      <c r="G97" s="3" t="s">
        <v>57</v>
      </c>
      <c r="H97" s="68">
        <v>1100000</v>
      </c>
      <c r="I97" s="68">
        <v>1100000</v>
      </c>
      <c r="J97" s="68">
        <f t="shared" si="0"/>
        <v>-330000</v>
      </c>
      <c r="K97" s="3" t="s">
        <v>58</v>
      </c>
      <c r="L97" s="3" t="s">
        <v>58</v>
      </c>
      <c r="M97" s="3" t="s">
        <v>58</v>
      </c>
      <c r="N97" s="56" t="s">
        <v>214</v>
      </c>
    </row>
    <row r="98" spans="1:14" x14ac:dyDescent="0.25">
      <c r="A98">
        <v>2018</v>
      </c>
      <c r="B98" s="3">
        <v>7</v>
      </c>
      <c r="C98" s="3">
        <v>23</v>
      </c>
      <c r="D98" s="3">
        <v>1200</v>
      </c>
      <c r="E98" s="3" t="s">
        <v>56</v>
      </c>
      <c r="F98" s="3">
        <v>2</v>
      </c>
      <c r="G98" s="3" t="s">
        <v>57</v>
      </c>
      <c r="H98" s="68">
        <v>900000</v>
      </c>
      <c r="I98" s="68">
        <v>900000</v>
      </c>
      <c r="J98" s="68">
        <f t="shared" si="0"/>
        <v>-180000</v>
      </c>
      <c r="K98" s="3" t="s">
        <v>58</v>
      </c>
      <c r="L98" s="3" t="s">
        <v>58</v>
      </c>
      <c r="M98" s="3" t="s">
        <v>58</v>
      </c>
      <c r="N98" s="56" t="s">
        <v>214</v>
      </c>
    </row>
    <row r="99" spans="1:14" x14ac:dyDescent="0.25">
      <c r="A99">
        <v>2018</v>
      </c>
      <c r="B99" s="3">
        <v>8</v>
      </c>
      <c r="C99" s="3">
        <v>23</v>
      </c>
      <c r="D99" s="3">
        <v>1200</v>
      </c>
      <c r="E99" s="3" t="s">
        <v>56</v>
      </c>
      <c r="F99" s="3">
        <v>2</v>
      </c>
      <c r="G99" s="3" t="s">
        <v>57</v>
      </c>
      <c r="H99" s="68">
        <v>800000</v>
      </c>
      <c r="I99" s="68">
        <v>800000</v>
      </c>
      <c r="J99" s="68">
        <f t="shared" si="0"/>
        <v>-160000</v>
      </c>
      <c r="K99" s="3" t="s">
        <v>58</v>
      </c>
      <c r="L99" s="3" t="s">
        <v>58</v>
      </c>
      <c r="M99" s="3" t="s">
        <v>58</v>
      </c>
      <c r="N99" s="56" t="s">
        <v>214</v>
      </c>
    </row>
    <row r="100" spans="1:14" x14ac:dyDescent="0.25">
      <c r="A100">
        <v>2018</v>
      </c>
      <c r="B100" s="3">
        <v>9</v>
      </c>
      <c r="C100" s="3">
        <v>23</v>
      </c>
      <c r="D100" s="3">
        <v>1200</v>
      </c>
      <c r="E100" s="3" t="s">
        <v>56</v>
      </c>
      <c r="F100" s="3">
        <v>2</v>
      </c>
      <c r="G100" s="3" t="s">
        <v>57</v>
      </c>
      <c r="H100" s="68">
        <v>0</v>
      </c>
      <c r="I100" s="68">
        <v>0</v>
      </c>
      <c r="J100" s="68">
        <f t="shared" si="0"/>
        <v>0</v>
      </c>
      <c r="K100" s="3" t="s">
        <v>58</v>
      </c>
      <c r="L100" s="3" t="s">
        <v>58</v>
      </c>
      <c r="M100" s="3" t="s">
        <v>58</v>
      </c>
      <c r="N100" s="56" t="s">
        <v>214</v>
      </c>
    </row>
    <row r="101" spans="1:14" x14ac:dyDescent="0.25">
      <c r="A101">
        <v>2018</v>
      </c>
      <c r="B101" s="3">
        <v>10</v>
      </c>
      <c r="C101" s="3">
        <v>23</v>
      </c>
      <c r="D101" s="3">
        <v>1200</v>
      </c>
      <c r="E101" s="3" t="s">
        <v>56</v>
      </c>
      <c r="F101" s="3">
        <v>1</v>
      </c>
      <c r="G101" s="3" t="s">
        <v>57</v>
      </c>
      <c r="H101" s="68">
        <v>800000</v>
      </c>
      <c r="I101" s="68">
        <v>800000</v>
      </c>
      <c r="J101" s="68">
        <f t="shared" si="0"/>
        <v>-80000</v>
      </c>
      <c r="K101" s="3" t="s">
        <v>58</v>
      </c>
      <c r="L101" s="3" t="s">
        <v>58</v>
      </c>
      <c r="M101" s="3" t="s">
        <v>58</v>
      </c>
      <c r="N101" s="56" t="s">
        <v>214</v>
      </c>
    </row>
    <row r="102" spans="1:14" x14ac:dyDescent="0.25">
      <c r="A102">
        <v>2018</v>
      </c>
      <c r="B102" s="3">
        <v>11</v>
      </c>
      <c r="C102" s="3">
        <v>23</v>
      </c>
      <c r="D102" s="3">
        <v>1200</v>
      </c>
      <c r="E102" s="3" t="s">
        <v>56</v>
      </c>
      <c r="F102" s="3">
        <v>1</v>
      </c>
      <c r="G102" s="3" t="s">
        <v>57</v>
      </c>
      <c r="H102" s="68">
        <v>600000</v>
      </c>
      <c r="I102" s="68">
        <v>600000</v>
      </c>
      <c r="J102" s="68">
        <f t="shared" si="0"/>
        <v>-60000</v>
      </c>
      <c r="K102" s="3" t="s">
        <v>58</v>
      </c>
      <c r="L102" s="3" t="s">
        <v>58</v>
      </c>
      <c r="M102" s="3" t="s">
        <v>58</v>
      </c>
      <c r="N102" s="56" t="s">
        <v>214</v>
      </c>
    </row>
    <row r="103" spans="1:14" x14ac:dyDescent="0.25">
      <c r="A103" s="46">
        <v>2018</v>
      </c>
      <c r="B103" s="47">
        <v>12</v>
      </c>
      <c r="C103" s="47">
        <v>23</v>
      </c>
      <c r="D103" s="47">
        <v>1200</v>
      </c>
      <c r="E103" s="47" t="s">
        <v>56</v>
      </c>
      <c r="F103" s="47">
        <v>1</v>
      </c>
      <c r="G103" s="47" t="s">
        <v>57</v>
      </c>
      <c r="H103" s="69">
        <v>600000</v>
      </c>
      <c r="I103" s="69">
        <v>600000</v>
      </c>
      <c r="J103" s="69">
        <f t="shared" si="0"/>
        <v>-60000</v>
      </c>
      <c r="K103" s="47" t="s">
        <v>58</v>
      </c>
      <c r="L103" s="47" t="s">
        <v>58</v>
      </c>
      <c r="M103" s="47" t="s">
        <v>58</v>
      </c>
      <c r="N103" s="66" t="s">
        <v>214</v>
      </c>
    </row>
    <row r="104" spans="1:14" x14ac:dyDescent="0.25">
      <c r="A104">
        <v>2017</v>
      </c>
      <c r="B104" s="3">
        <v>12</v>
      </c>
      <c r="C104" s="3">
        <v>24</v>
      </c>
      <c r="D104" s="3">
        <v>1200</v>
      </c>
      <c r="E104" s="3" t="s">
        <v>56</v>
      </c>
      <c r="F104" s="3">
        <v>1</v>
      </c>
      <c r="G104" s="3" t="s">
        <v>57</v>
      </c>
      <c r="H104" s="68">
        <v>0</v>
      </c>
      <c r="I104" s="68">
        <v>0</v>
      </c>
      <c r="J104" s="68">
        <v>0</v>
      </c>
      <c r="K104" s="3" t="s">
        <v>58</v>
      </c>
      <c r="L104" s="3" t="s">
        <v>58</v>
      </c>
      <c r="M104" s="3" t="s">
        <v>58</v>
      </c>
      <c r="N104" s="56" t="s">
        <v>218</v>
      </c>
    </row>
    <row r="105" spans="1:14" x14ac:dyDescent="0.25">
      <c r="A105">
        <v>2018</v>
      </c>
      <c r="B105" s="3">
        <v>1</v>
      </c>
      <c r="C105" s="3">
        <v>24</v>
      </c>
      <c r="D105" s="3">
        <v>1200</v>
      </c>
      <c r="E105" s="3" t="s">
        <v>56</v>
      </c>
      <c r="F105" s="3">
        <v>1</v>
      </c>
      <c r="G105" s="3" t="s">
        <v>57</v>
      </c>
      <c r="H105" s="68">
        <v>0</v>
      </c>
      <c r="I105" s="68">
        <v>0</v>
      </c>
      <c r="J105" s="68">
        <v>0</v>
      </c>
      <c r="K105" s="3" t="s">
        <v>58</v>
      </c>
      <c r="L105" s="3" t="s">
        <v>58</v>
      </c>
      <c r="M105" s="3" t="s">
        <v>58</v>
      </c>
      <c r="N105" s="56" t="s">
        <v>218</v>
      </c>
    </row>
    <row r="106" spans="1:14" x14ac:dyDescent="0.25">
      <c r="A106">
        <v>2018</v>
      </c>
      <c r="B106" s="3">
        <v>2</v>
      </c>
      <c r="C106" s="3">
        <v>24</v>
      </c>
      <c r="D106" s="3">
        <v>1200</v>
      </c>
      <c r="E106" s="3" t="s">
        <v>56</v>
      </c>
      <c r="F106" s="3">
        <v>1</v>
      </c>
      <c r="G106" s="3" t="s">
        <v>57</v>
      </c>
      <c r="H106" s="68">
        <v>305000</v>
      </c>
      <c r="I106" s="68">
        <v>300000</v>
      </c>
      <c r="J106" s="68">
        <f>I106*-0.01</f>
        <v>-3000</v>
      </c>
      <c r="K106" s="3" t="s">
        <v>58</v>
      </c>
      <c r="L106" s="3" t="s">
        <v>58</v>
      </c>
      <c r="M106" s="3" t="s">
        <v>58</v>
      </c>
      <c r="N106" s="56" t="s">
        <v>218</v>
      </c>
    </row>
    <row r="107" spans="1:14" x14ac:dyDescent="0.25">
      <c r="A107">
        <v>2018</v>
      </c>
      <c r="B107" s="3">
        <v>3</v>
      </c>
      <c r="C107" s="3">
        <v>24</v>
      </c>
      <c r="D107" s="3">
        <v>1200</v>
      </c>
      <c r="E107" s="3" t="s">
        <v>56</v>
      </c>
      <c r="F107" s="3">
        <v>1</v>
      </c>
      <c r="G107" s="3" t="s">
        <v>57</v>
      </c>
      <c r="H107" s="68">
        <f>I107+H106-I106-100</f>
        <v>304400</v>
      </c>
      <c r="I107" s="68">
        <f>I106-500</f>
        <v>299500</v>
      </c>
      <c r="J107" s="68">
        <f>I107*-0.01</f>
        <v>-2995</v>
      </c>
      <c r="K107" s="3" t="s">
        <v>58</v>
      </c>
      <c r="L107" s="3" t="s">
        <v>58</v>
      </c>
      <c r="M107" s="3" t="s">
        <v>58</v>
      </c>
      <c r="N107" s="56" t="s">
        <v>218</v>
      </c>
    </row>
    <row r="108" spans="1:14" x14ac:dyDescent="0.25">
      <c r="A108">
        <v>2018</v>
      </c>
      <c r="B108" s="3">
        <v>4</v>
      </c>
      <c r="C108" s="3">
        <v>24</v>
      </c>
      <c r="D108" s="3">
        <v>1200</v>
      </c>
      <c r="E108" s="3" t="s">
        <v>56</v>
      </c>
      <c r="F108" s="3">
        <v>1</v>
      </c>
      <c r="G108" s="3" t="s">
        <v>57</v>
      </c>
      <c r="H108" s="68">
        <f>I108+H107-I107-100</f>
        <v>303800</v>
      </c>
      <c r="I108" s="68">
        <f t="shared" ref="I108:I116" si="1">I107-500</f>
        <v>299000</v>
      </c>
      <c r="J108" s="68">
        <f>I108*-0.01</f>
        <v>-2990</v>
      </c>
      <c r="K108" s="3" t="s">
        <v>58</v>
      </c>
      <c r="L108" s="3" t="s">
        <v>58</v>
      </c>
      <c r="M108" s="3" t="s">
        <v>58</v>
      </c>
      <c r="N108" s="56" t="s">
        <v>218</v>
      </c>
    </row>
    <row r="109" spans="1:14" x14ac:dyDescent="0.25">
      <c r="A109">
        <v>2018</v>
      </c>
      <c r="B109" s="3">
        <v>5</v>
      </c>
      <c r="C109" s="3">
        <v>24</v>
      </c>
      <c r="D109" s="3">
        <v>1200</v>
      </c>
      <c r="E109" s="3" t="s">
        <v>56</v>
      </c>
      <c r="F109" s="3">
        <v>1</v>
      </c>
      <c r="G109" s="3" t="s">
        <v>57</v>
      </c>
      <c r="H109" s="68">
        <f>I109+H108-I108-100</f>
        <v>303200</v>
      </c>
      <c r="I109" s="68">
        <f t="shared" si="1"/>
        <v>298500</v>
      </c>
      <c r="J109" s="68">
        <f>I109*-0.01</f>
        <v>-2985</v>
      </c>
      <c r="K109" s="3" t="s">
        <v>58</v>
      </c>
      <c r="L109" s="3" t="s">
        <v>58</v>
      </c>
      <c r="M109" s="3" t="s">
        <v>58</v>
      </c>
      <c r="N109" s="56" t="s">
        <v>218</v>
      </c>
    </row>
    <row r="110" spans="1:14" x14ac:dyDescent="0.25">
      <c r="A110">
        <v>2018</v>
      </c>
      <c r="B110" s="3">
        <v>6</v>
      </c>
      <c r="C110" s="3">
        <v>24</v>
      </c>
      <c r="D110" s="3">
        <v>1200</v>
      </c>
      <c r="E110" s="3" t="s">
        <v>56</v>
      </c>
      <c r="F110" s="3">
        <v>1</v>
      </c>
      <c r="G110" s="3" t="s">
        <v>57</v>
      </c>
      <c r="H110" s="68">
        <f>I110+H109-I109-100</f>
        <v>302600</v>
      </c>
      <c r="I110" s="68">
        <f t="shared" si="1"/>
        <v>298000</v>
      </c>
      <c r="J110" s="68">
        <f>I110*-0.01</f>
        <v>-2980</v>
      </c>
      <c r="K110" s="3" t="s">
        <v>58</v>
      </c>
      <c r="L110" s="3" t="s">
        <v>58</v>
      </c>
      <c r="M110" s="3" t="s">
        <v>58</v>
      </c>
      <c r="N110" s="56" t="s">
        <v>218</v>
      </c>
    </row>
    <row r="111" spans="1:14" x14ac:dyDescent="0.25">
      <c r="A111">
        <v>2018</v>
      </c>
      <c r="B111" s="3">
        <v>7</v>
      </c>
      <c r="C111" s="3">
        <v>24</v>
      </c>
      <c r="D111" s="3">
        <v>1200</v>
      </c>
      <c r="E111" s="3" t="s">
        <v>56</v>
      </c>
      <c r="F111" s="3">
        <v>1</v>
      </c>
      <c r="G111" s="3" t="s">
        <v>57</v>
      </c>
      <c r="H111" s="68">
        <f>I111+H110-I110-100</f>
        <v>302000</v>
      </c>
      <c r="I111" s="68">
        <f t="shared" si="1"/>
        <v>297500</v>
      </c>
      <c r="J111" s="68">
        <f>I111*-0.01</f>
        <v>-2975</v>
      </c>
      <c r="K111" s="3" t="s">
        <v>58</v>
      </c>
      <c r="L111" s="3" t="s">
        <v>58</v>
      </c>
      <c r="M111" s="3" t="s">
        <v>58</v>
      </c>
      <c r="N111" s="56" t="s">
        <v>218</v>
      </c>
    </row>
    <row r="112" spans="1:14" x14ac:dyDescent="0.25">
      <c r="A112">
        <v>2018</v>
      </c>
      <c r="B112" s="3">
        <v>8</v>
      </c>
      <c r="C112" s="3">
        <v>24</v>
      </c>
      <c r="D112" s="3">
        <v>1200</v>
      </c>
      <c r="E112" s="3" t="s">
        <v>56</v>
      </c>
      <c r="F112" s="3">
        <v>1</v>
      </c>
      <c r="G112" s="3" t="s">
        <v>57</v>
      </c>
      <c r="H112" s="68">
        <f>I112+H111-I111-100</f>
        <v>301400</v>
      </c>
      <c r="I112" s="68">
        <f t="shared" si="1"/>
        <v>297000</v>
      </c>
      <c r="J112" s="68">
        <f>I112*-0.01</f>
        <v>-2970</v>
      </c>
      <c r="K112" s="3" t="s">
        <v>58</v>
      </c>
      <c r="L112" s="3" t="s">
        <v>58</v>
      </c>
      <c r="M112" s="3" t="s">
        <v>58</v>
      </c>
      <c r="N112" s="56" t="s">
        <v>218</v>
      </c>
    </row>
    <row r="113" spans="1:14" x14ac:dyDescent="0.25">
      <c r="A113">
        <v>2018</v>
      </c>
      <c r="B113" s="3">
        <v>9</v>
      </c>
      <c r="C113" s="3">
        <v>24</v>
      </c>
      <c r="D113" s="3">
        <v>1200</v>
      </c>
      <c r="E113" s="3" t="s">
        <v>56</v>
      </c>
      <c r="F113" s="3">
        <v>1</v>
      </c>
      <c r="G113" s="3" t="s">
        <v>57</v>
      </c>
      <c r="H113" s="68">
        <f>I113+H112-I112-100</f>
        <v>300800</v>
      </c>
      <c r="I113" s="68">
        <f t="shared" si="1"/>
        <v>296500</v>
      </c>
      <c r="J113" s="68">
        <f>I113*-0.01</f>
        <v>-2965</v>
      </c>
      <c r="K113" s="3" t="s">
        <v>58</v>
      </c>
      <c r="L113" s="3" t="s">
        <v>58</v>
      </c>
      <c r="M113" s="3" t="s">
        <v>58</v>
      </c>
      <c r="N113" s="56" t="s">
        <v>218</v>
      </c>
    </row>
    <row r="114" spans="1:14" x14ac:dyDescent="0.25">
      <c r="A114">
        <v>2018</v>
      </c>
      <c r="B114" s="3">
        <v>10</v>
      </c>
      <c r="C114" s="3">
        <v>24</v>
      </c>
      <c r="D114" s="3">
        <v>1200</v>
      </c>
      <c r="E114" s="3" t="s">
        <v>56</v>
      </c>
      <c r="F114" s="3">
        <v>1</v>
      </c>
      <c r="G114" s="3" t="s">
        <v>57</v>
      </c>
      <c r="H114" s="68">
        <f>I114+H113-I113-100</f>
        <v>300200</v>
      </c>
      <c r="I114" s="68">
        <f t="shared" si="1"/>
        <v>296000</v>
      </c>
      <c r="J114" s="68">
        <f>I114*-0.01</f>
        <v>-2960</v>
      </c>
      <c r="K114" s="3" t="s">
        <v>58</v>
      </c>
      <c r="L114" s="3" t="s">
        <v>58</v>
      </c>
      <c r="M114" s="3" t="s">
        <v>58</v>
      </c>
      <c r="N114" s="56" t="s">
        <v>218</v>
      </c>
    </row>
    <row r="115" spans="1:14" x14ac:dyDescent="0.25">
      <c r="A115">
        <v>2018</v>
      </c>
      <c r="B115" s="3">
        <v>11</v>
      </c>
      <c r="C115" s="3">
        <v>24</v>
      </c>
      <c r="D115" s="3">
        <v>1200</v>
      </c>
      <c r="E115" s="3" t="s">
        <v>56</v>
      </c>
      <c r="F115" s="3">
        <v>1</v>
      </c>
      <c r="G115" s="3" t="s">
        <v>57</v>
      </c>
      <c r="H115" s="68">
        <f>I115+H114-I114-100</f>
        <v>299600</v>
      </c>
      <c r="I115" s="68">
        <f t="shared" si="1"/>
        <v>295500</v>
      </c>
      <c r="J115" s="68">
        <f>I115*-0.01</f>
        <v>-2955</v>
      </c>
      <c r="K115" s="3" t="s">
        <v>58</v>
      </c>
      <c r="L115" s="3" t="s">
        <v>58</v>
      </c>
      <c r="M115" s="3" t="s">
        <v>58</v>
      </c>
      <c r="N115" s="56" t="s">
        <v>218</v>
      </c>
    </row>
    <row r="116" spans="1:14" x14ac:dyDescent="0.25">
      <c r="A116" s="46">
        <v>2018</v>
      </c>
      <c r="B116" s="47">
        <v>12</v>
      </c>
      <c r="C116" s="47">
        <v>24</v>
      </c>
      <c r="D116" s="47">
        <v>1200</v>
      </c>
      <c r="E116" s="47" t="s">
        <v>56</v>
      </c>
      <c r="F116" s="47">
        <v>1</v>
      </c>
      <c r="G116" s="47" t="s">
        <v>57</v>
      </c>
      <c r="H116" s="69">
        <f>I116+H115-I115-100</f>
        <v>299000</v>
      </c>
      <c r="I116" s="69">
        <f t="shared" si="1"/>
        <v>295000</v>
      </c>
      <c r="J116" s="69">
        <f>I116*-0.01</f>
        <v>-2950</v>
      </c>
      <c r="K116" s="47" t="s">
        <v>58</v>
      </c>
      <c r="L116" s="47" t="s">
        <v>58</v>
      </c>
      <c r="M116" s="47" t="s">
        <v>58</v>
      </c>
      <c r="N116" s="66" t="s">
        <v>218</v>
      </c>
    </row>
    <row r="117" spans="1:14" x14ac:dyDescent="0.25">
      <c r="A117">
        <v>2017</v>
      </c>
      <c r="B117" s="3">
        <v>12</v>
      </c>
      <c r="C117" s="3">
        <v>24</v>
      </c>
      <c r="D117" s="3">
        <v>1200</v>
      </c>
      <c r="E117" s="3" t="s">
        <v>56</v>
      </c>
      <c r="F117" s="3">
        <v>1</v>
      </c>
      <c r="G117" s="3" t="s">
        <v>57</v>
      </c>
      <c r="H117" s="68">
        <v>305000</v>
      </c>
      <c r="I117" s="68">
        <v>300000</v>
      </c>
      <c r="J117" s="68">
        <f>I117*-0.01</f>
        <v>-3000</v>
      </c>
      <c r="K117" s="3" t="s">
        <v>58</v>
      </c>
      <c r="L117" s="3" t="s">
        <v>58</v>
      </c>
      <c r="M117" s="3" t="s">
        <v>58</v>
      </c>
      <c r="N117" s="56" t="s">
        <v>218</v>
      </c>
    </row>
    <row r="118" spans="1:14" x14ac:dyDescent="0.25">
      <c r="A118">
        <v>2018</v>
      </c>
      <c r="B118" s="3">
        <v>1</v>
      </c>
      <c r="C118" s="3">
        <v>24</v>
      </c>
      <c r="D118" s="3">
        <v>1200</v>
      </c>
      <c r="E118" s="3" t="s">
        <v>56</v>
      </c>
      <c r="F118" s="3">
        <v>1</v>
      </c>
      <c r="G118" s="3" t="s">
        <v>57</v>
      </c>
      <c r="H118" s="68">
        <f>I118+H117-I117-100</f>
        <v>304400</v>
      </c>
      <c r="I118" s="68">
        <f>I117-500</f>
        <v>299500</v>
      </c>
      <c r="J118" s="68">
        <f>I118*-0.01</f>
        <v>-2995</v>
      </c>
      <c r="K118" s="3" t="s">
        <v>58</v>
      </c>
      <c r="L118" s="3" t="s">
        <v>58</v>
      </c>
      <c r="M118" s="3" t="s">
        <v>58</v>
      </c>
      <c r="N118" s="56" t="s">
        <v>218</v>
      </c>
    </row>
    <row r="119" spans="1:14" x14ac:dyDescent="0.25">
      <c r="A119">
        <v>2018</v>
      </c>
      <c r="B119" s="3">
        <v>2</v>
      </c>
      <c r="C119" s="3">
        <v>24</v>
      </c>
      <c r="D119" s="3">
        <v>1200</v>
      </c>
      <c r="E119" s="3" t="s">
        <v>56</v>
      </c>
      <c r="F119" s="3">
        <v>1</v>
      </c>
      <c r="G119" s="3" t="s">
        <v>57</v>
      </c>
      <c r="H119" s="68">
        <f>I119+H118-I118-100</f>
        <v>303800</v>
      </c>
      <c r="I119" s="68">
        <f t="shared" ref="I119:I127" si="2">I118-500</f>
        <v>299000</v>
      </c>
      <c r="J119" s="68">
        <f>I119*-0.01</f>
        <v>-2990</v>
      </c>
      <c r="K119" s="3" t="s">
        <v>58</v>
      </c>
      <c r="L119" s="3" t="s">
        <v>58</v>
      </c>
      <c r="M119" s="3" t="s">
        <v>58</v>
      </c>
      <c r="N119" s="56" t="s">
        <v>218</v>
      </c>
    </row>
    <row r="120" spans="1:14" x14ac:dyDescent="0.25">
      <c r="A120">
        <v>2018</v>
      </c>
      <c r="B120" s="3">
        <v>3</v>
      </c>
      <c r="C120" s="3">
        <v>24</v>
      </c>
      <c r="D120" s="3">
        <v>1200</v>
      </c>
      <c r="E120" s="3" t="s">
        <v>56</v>
      </c>
      <c r="F120" s="3">
        <v>1</v>
      </c>
      <c r="G120" s="3" t="s">
        <v>57</v>
      </c>
      <c r="H120" s="68">
        <f>I120+H119-I119-100</f>
        <v>303200</v>
      </c>
      <c r="I120" s="68">
        <f t="shared" si="2"/>
        <v>298500</v>
      </c>
      <c r="J120" s="68">
        <f>I120*-0.01</f>
        <v>-2985</v>
      </c>
      <c r="K120" s="3" t="s">
        <v>58</v>
      </c>
      <c r="L120" s="3" t="s">
        <v>58</v>
      </c>
      <c r="M120" s="3" t="s">
        <v>58</v>
      </c>
      <c r="N120" s="56" t="s">
        <v>218</v>
      </c>
    </row>
    <row r="121" spans="1:14" x14ac:dyDescent="0.25">
      <c r="A121">
        <v>2018</v>
      </c>
      <c r="B121" s="3">
        <v>4</v>
      </c>
      <c r="C121" s="3">
        <v>24</v>
      </c>
      <c r="D121" s="3">
        <v>1200</v>
      </c>
      <c r="E121" s="3" t="s">
        <v>56</v>
      </c>
      <c r="F121" s="3">
        <v>1</v>
      </c>
      <c r="G121" s="3" t="s">
        <v>57</v>
      </c>
      <c r="H121" s="68">
        <f>I121+H120-I120-100</f>
        <v>302600</v>
      </c>
      <c r="I121" s="68">
        <f t="shared" si="2"/>
        <v>298000</v>
      </c>
      <c r="J121" s="68">
        <f>I121*-0.01</f>
        <v>-2980</v>
      </c>
      <c r="K121" s="3" t="s">
        <v>58</v>
      </c>
      <c r="L121" s="3" t="s">
        <v>58</v>
      </c>
      <c r="M121" s="3" t="s">
        <v>58</v>
      </c>
      <c r="N121" s="56" t="s">
        <v>218</v>
      </c>
    </row>
    <row r="122" spans="1:14" x14ac:dyDescent="0.25">
      <c r="A122">
        <v>2018</v>
      </c>
      <c r="B122" s="3">
        <v>5</v>
      </c>
      <c r="C122" s="3">
        <v>24</v>
      </c>
      <c r="D122" s="3">
        <v>1200</v>
      </c>
      <c r="E122" s="3" t="s">
        <v>56</v>
      </c>
      <c r="F122" s="3">
        <v>1</v>
      </c>
      <c r="G122" s="3" t="s">
        <v>57</v>
      </c>
      <c r="H122" s="68">
        <f>I122+H121-I121-100</f>
        <v>302000</v>
      </c>
      <c r="I122" s="68">
        <f t="shared" si="2"/>
        <v>297500</v>
      </c>
      <c r="J122" s="68">
        <f>I122*-0.01</f>
        <v>-2975</v>
      </c>
      <c r="K122" s="3" t="s">
        <v>58</v>
      </c>
      <c r="L122" s="3" t="s">
        <v>58</v>
      </c>
      <c r="M122" s="3" t="s">
        <v>58</v>
      </c>
      <c r="N122" s="56" t="s">
        <v>218</v>
      </c>
    </row>
    <row r="123" spans="1:14" x14ac:dyDescent="0.25">
      <c r="A123">
        <v>2018</v>
      </c>
      <c r="B123" s="3">
        <v>6</v>
      </c>
      <c r="C123" s="3">
        <v>24</v>
      </c>
      <c r="D123" s="3">
        <v>1200</v>
      </c>
      <c r="E123" s="3" t="s">
        <v>56</v>
      </c>
      <c r="F123" s="3">
        <v>1</v>
      </c>
      <c r="G123" s="3" t="s">
        <v>57</v>
      </c>
      <c r="H123" s="68">
        <f>I123+H122-I122-100</f>
        <v>301400</v>
      </c>
      <c r="I123" s="68">
        <f t="shared" si="2"/>
        <v>297000</v>
      </c>
      <c r="J123" s="68">
        <f>I123*-0.01</f>
        <v>-2970</v>
      </c>
      <c r="K123" s="3" t="s">
        <v>58</v>
      </c>
      <c r="L123" s="3" t="s">
        <v>58</v>
      </c>
      <c r="M123" s="3" t="s">
        <v>58</v>
      </c>
      <c r="N123" s="56" t="s">
        <v>218</v>
      </c>
    </row>
    <row r="124" spans="1:14" x14ac:dyDescent="0.25">
      <c r="A124">
        <v>2018</v>
      </c>
      <c r="B124" s="3">
        <v>7</v>
      </c>
      <c r="C124" s="3">
        <v>24</v>
      </c>
      <c r="D124" s="3">
        <v>1200</v>
      </c>
      <c r="E124" s="3" t="s">
        <v>56</v>
      </c>
      <c r="F124" s="3">
        <v>1</v>
      </c>
      <c r="G124" s="3" t="s">
        <v>57</v>
      </c>
      <c r="H124" s="68">
        <f>I124+H123-I123-100</f>
        <v>300800</v>
      </c>
      <c r="I124" s="68">
        <f t="shared" si="2"/>
        <v>296500</v>
      </c>
      <c r="J124" s="68">
        <f>I124*-0.01</f>
        <v>-2965</v>
      </c>
      <c r="K124" s="3" t="s">
        <v>58</v>
      </c>
      <c r="L124" s="3" t="s">
        <v>58</v>
      </c>
      <c r="M124" s="3" t="s">
        <v>58</v>
      </c>
      <c r="N124" s="56" t="s">
        <v>218</v>
      </c>
    </row>
    <row r="125" spans="1:14" x14ac:dyDescent="0.25">
      <c r="A125">
        <v>2018</v>
      </c>
      <c r="B125" s="3">
        <v>8</v>
      </c>
      <c r="C125" s="3">
        <v>24</v>
      </c>
      <c r="D125" s="3">
        <v>1200</v>
      </c>
      <c r="E125" s="3" t="s">
        <v>56</v>
      </c>
      <c r="F125" s="3">
        <v>1</v>
      </c>
      <c r="G125" s="3" t="s">
        <v>57</v>
      </c>
      <c r="H125" s="68">
        <f>I125+H124-I124-100</f>
        <v>300200</v>
      </c>
      <c r="I125" s="68">
        <f t="shared" si="2"/>
        <v>296000</v>
      </c>
      <c r="J125" s="68">
        <f>I125*-0.01</f>
        <v>-2960</v>
      </c>
      <c r="K125" s="3" t="s">
        <v>58</v>
      </c>
      <c r="L125" s="3" t="s">
        <v>58</v>
      </c>
      <c r="M125" s="3" t="s">
        <v>58</v>
      </c>
      <c r="N125" s="56" t="s">
        <v>218</v>
      </c>
    </row>
    <row r="126" spans="1:14" x14ac:dyDescent="0.25">
      <c r="A126">
        <v>2018</v>
      </c>
      <c r="B126" s="3">
        <v>9</v>
      </c>
      <c r="C126" s="3">
        <v>24</v>
      </c>
      <c r="D126" s="3">
        <v>1200</v>
      </c>
      <c r="E126" s="3" t="s">
        <v>56</v>
      </c>
      <c r="F126" s="3">
        <v>1</v>
      </c>
      <c r="G126" s="3" t="s">
        <v>57</v>
      </c>
      <c r="H126" s="71">
        <f>I126+H125-I125-100</f>
        <v>299600</v>
      </c>
      <c r="I126" s="71">
        <f t="shared" si="2"/>
        <v>295500</v>
      </c>
      <c r="J126" s="71">
        <f>I126*-0.01</f>
        <v>-2955</v>
      </c>
      <c r="K126" s="3" t="s">
        <v>58</v>
      </c>
      <c r="L126" s="3" t="s">
        <v>58</v>
      </c>
      <c r="M126" s="3" t="s">
        <v>58</v>
      </c>
      <c r="N126" s="56" t="s">
        <v>218</v>
      </c>
    </row>
    <row r="127" spans="1:14" x14ac:dyDescent="0.25">
      <c r="A127">
        <v>2018</v>
      </c>
      <c r="B127" s="3">
        <v>10</v>
      </c>
      <c r="C127" s="3">
        <v>24</v>
      </c>
      <c r="D127" s="3">
        <v>1200</v>
      </c>
      <c r="E127" s="3" t="s">
        <v>56</v>
      </c>
      <c r="F127" s="3">
        <v>1</v>
      </c>
      <c r="G127" s="3" t="s">
        <v>57</v>
      </c>
      <c r="H127" s="71">
        <f t="shared" ref="H127:H129" si="3">I127+H126-I126-100</f>
        <v>299000</v>
      </c>
      <c r="I127" s="71">
        <f t="shared" ref="I127:I129" si="4">I126-500</f>
        <v>295000</v>
      </c>
      <c r="J127" s="71">
        <f t="shared" ref="J127:J129" si="5">I127*-0.01</f>
        <v>-2950</v>
      </c>
      <c r="K127" s="3" t="s">
        <v>58</v>
      </c>
      <c r="L127" s="3" t="s">
        <v>58</v>
      </c>
      <c r="M127" s="3" t="s">
        <v>58</v>
      </c>
      <c r="N127" s="56" t="s">
        <v>218</v>
      </c>
    </row>
    <row r="128" spans="1:14" x14ac:dyDescent="0.25">
      <c r="A128">
        <v>2018</v>
      </c>
      <c r="B128" s="3">
        <v>11</v>
      </c>
      <c r="C128" s="3">
        <v>24</v>
      </c>
      <c r="D128" s="3">
        <v>1200</v>
      </c>
      <c r="E128" s="3" t="s">
        <v>56</v>
      </c>
      <c r="F128" s="3">
        <v>1</v>
      </c>
      <c r="G128" s="3" t="s">
        <v>57</v>
      </c>
      <c r="H128" s="71">
        <f t="shared" si="3"/>
        <v>298400</v>
      </c>
      <c r="I128" s="71">
        <f t="shared" si="4"/>
        <v>294500</v>
      </c>
      <c r="J128" s="71">
        <f t="shared" si="5"/>
        <v>-2945</v>
      </c>
      <c r="K128" s="3" t="s">
        <v>58</v>
      </c>
      <c r="L128" s="3" t="s">
        <v>58</v>
      </c>
      <c r="M128" s="3" t="s">
        <v>58</v>
      </c>
      <c r="N128" s="56" t="s">
        <v>218</v>
      </c>
    </row>
    <row r="129" spans="1:14" x14ac:dyDescent="0.25">
      <c r="A129" s="46">
        <v>2018</v>
      </c>
      <c r="B129" s="47">
        <v>12</v>
      </c>
      <c r="C129" s="47">
        <v>24</v>
      </c>
      <c r="D129" s="47">
        <v>1200</v>
      </c>
      <c r="E129" s="47" t="s">
        <v>56</v>
      </c>
      <c r="F129" s="47">
        <v>1</v>
      </c>
      <c r="G129" s="47" t="s">
        <v>57</v>
      </c>
      <c r="H129" s="69">
        <f t="shared" si="3"/>
        <v>297800</v>
      </c>
      <c r="I129" s="69">
        <f t="shared" si="4"/>
        <v>294000</v>
      </c>
      <c r="J129" s="69">
        <f t="shared" si="5"/>
        <v>-2940</v>
      </c>
      <c r="K129" s="47" t="s">
        <v>58</v>
      </c>
      <c r="L129" s="47" t="s">
        <v>58</v>
      </c>
      <c r="M129" s="47" t="s">
        <v>58</v>
      </c>
      <c r="N129" s="66" t="s">
        <v>218</v>
      </c>
    </row>
  </sheetData>
  <autoFilter ref="A1:N90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AZ96"/>
  <sheetViews>
    <sheetView zoomScale="60" zoomScaleNormal="60" workbookViewId="0">
      <pane xSplit="5" ySplit="3" topLeftCell="AG4" activePane="bottomRight" state="frozen"/>
      <selection pane="topRight" activeCell="F1" sqref="F1"/>
      <selection pane="bottomLeft" activeCell="A2" sqref="A2"/>
      <selection pane="bottomRight" activeCell="AR90" sqref="AR90:AR94"/>
    </sheetView>
  </sheetViews>
  <sheetFormatPr defaultRowHeight="15" x14ac:dyDescent="0.25"/>
  <cols>
    <col min="1" max="1" width="9.140625" style="4"/>
    <col min="2" max="2" width="11.5703125" style="4" bestFit="1" customWidth="1"/>
    <col min="3" max="3" width="16.28515625" style="4" bestFit="1" customWidth="1"/>
    <col min="4" max="5" width="10.5703125" style="4" customWidth="1"/>
    <col min="6" max="52" width="12.7109375" style="4" customWidth="1"/>
    <col min="53" max="16384" width="9.140625" style="4"/>
  </cols>
  <sheetData>
    <row r="3" spans="1:52" s="7" customFormat="1" ht="27.75" customHeight="1" x14ac:dyDescent="0.25">
      <c r="B3" s="7" t="s">
        <v>0</v>
      </c>
      <c r="C3" s="7" t="s">
        <v>1</v>
      </c>
      <c r="D3" s="7" t="s">
        <v>45</v>
      </c>
      <c r="E3" s="7" t="s">
        <v>46</v>
      </c>
      <c r="F3" s="7" t="s">
        <v>48</v>
      </c>
      <c r="G3" s="7" t="s">
        <v>49</v>
      </c>
      <c r="H3" s="7" t="s">
        <v>50</v>
      </c>
      <c r="I3" s="7" t="s">
        <v>119</v>
      </c>
      <c r="J3" s="7" t="s">
        <v>118</v>
      </c>
      <c r="K3" s="7" t="s">
        <v>117</v>
      </c>
      <c r="L3" s="7" t="s">
        <v>116</v>
      </c>
      <c r="M3" s="7" t="s">
        <v>53</v>
      </c>
      <c r="N3" s="7" t="s">
        <v>54</v>
      </c>
      <c r="O3" s="7" t="s">
        <v>115</v>
      </c>
      <c r="P3" s="7" t="s">
        <v>114</v>
      </c>
      <c r="Q3" s="7" t="s">
        <v>113</v>
      </c>
      <c r="R3" s="7" t="s">
        <v>112</v>
      </c>
      <c r="S3" s="7" t="s">
        <v>111</v>
      </c>
      <c r="T3" s="7" t="s">
        <v>110</v>
      </c>
      <c r="U3" s="7" t="s">
        <v>109</v>
      </c>
      <c r="V3" s="7" t="s">
        <v>108</v>
      </c>
      <c r="W3" s="7" t="s">
        <v>107</v>
      </c>
      <c r="X3" s="7" t="s">
        <v>106</v>
      </c>
      <c r="Y3" s="7" t="s">
        <v>105</v>
      </c>
      <c r="Z3" s="7" t="s">
        <v>104</v>
      </c>
      <c r="AA3" s="7" t="s">
        <v>103</v>
      </c>
      <c r="AB3" s="7" t="s">
        <v>102</v>
      </c>
      <c r="AC3" s="7" t="s">
        <v>2</v>
      </c>
      <c r="AD3" s="7" t="s">
        <v>101</v>
      </c>
      <c r="AE3" s="7" t="s">
        <v>100</v>
      </c>
      <c r="AF3" s="7" t="s">
        <v>99</v>
      </c>
      <c r="AG3" s="7" t="s">
        <v>98</v>
      </c>
      <c r="AH3" s="7" t="s">
        <v>97</v>
      </c>
      <c r="AI3" s="7" t="s">
        <v>96</v>
      </c>
      <c r="AJ3" s="7" t="s">
        <v>95</v>
      </c>
      <c r="AK3" s="7" t="s">
        <v>94</v>
      </c>
      <c r="AL3" s="7" t="s">
        <v>93</v>
      </c>
      <c r="AM3" s="7" t="s">
        <v>92</v>
      </c>
      <c r="AN3" s="7" t="s">
        <v>91</v>
      </c>
      <c r="AO3" s="7" t="s">
        <v>90</v>
      </c>
      <c r="AP3" s="7" t="s">
        <v>89</v>
      </c>
      <c r="AQ3" s="7" t="s">
        <v>88</v>
      </c>
      <c r="AR3" s="7" t="s">
        <v>87</v>
      </c>
      <c r="AS3" s="7" t="s">
        <v>86</v>
      </c>
      <c r="AT3" s="7" t="s">
        <v>85</v>
      </c>
      <c r="AU3" s="7" t="s">
        <v>84</v>
      </c>
      <c r="AV3" s="7" t="s">
        <v>83</v>
      </c>
      <c r="AW3" s="7" t="s">
        <v>82</v>
      </c>
      <c r="AX3" s="7" t="s">
        <v>81</v>
      </c>
      <c r="AY3" s="7" t="s">
        <v>80</v>
      </c>
      <c r="AZ3" s="7" t="s">
        <v>79</v>
      </c>
    </row>
    <row r="4" spans="1:52" x14ac:dyDescent="0.25">
      <c r="A4" s="4">
        <v>1</v>
      </c>
      <c r="B4" s="5">
        <v>43070</v>
      </c>
      <c r="C4" s="4" t="s">
        <v>6</v>
      </c>
      <c r="D4" s="4">
        <v>2017</v>
      </c>
      <c r="E4" s="4">
        <v>12</v>
      </c>
      <c r="F4" s="4" t="s">
        <v>56</v>
      </c>
      <c r="G4" s="4">
        <v>2</v>
      </c>
      <c r="H4" s="4" t="s">
        <v>57</v>
      </c>
      <c r="I4" s="4">
        <v>7500</v>
      </c>
      <c r="J4" s="4">
        <v>7500</v>
      </c>
      <c r="K4" s="4">
        <v>-1500</v>
      </c>
      <c r="L4" s="4">
        <v>0</v>
      </c>
      <c r="M4" s="4">
        <v>0</v>
      </c>
      <c r="N4" s="4">
        <v>0</v>
      </c>
      <c r="O4" s="4">
        <v>2</v>
      </c>
      <c r="P4" s="4" t="s">
        <v>58</v>
      </c>
      <c r="Q4" s="4" t="s">
        <v>58</v>
      </c>
      <c r="R4" s="4">
        <v>7500</v>
      </c>
      <c r="S4" s="4" t="s">
        <v>58</v>
      </c>
      <c r="T4" s="4" t="s">
        <v>58</v>
      </c>
      <c r="U4" s="4">
        <v>0</v>
      </c>
      <c r="V4" s="4">
        <v>0</v>
      </c>
      <c r="W4" s="4">
        <v>0</v>
      </c>
      <c r="X4" s="8">
        <v>0.2</v>
      </c>
      <c r="Y4" s="8" t="s">
        <v>58</v>
      </c>
      <c r="Z4" s="4" t="s">
        <v>58</v>
      </c>
      <c r="AA4" s="4" t="s">
        <v>76</v>
      </c>
      <c r="AB4" s="4" t="s">
        <v>73</v>
      </c>
      <c r="AC4" s="4" t="s">
        <v>7</v>
      </c>
      <c r="AD4" s="4">
        <v>2</v>
      </c>
      <c r="AE4" s="4" t="s">
        <v>58</v>
      </c>
      <c r="AF4" s="4">
        <v>0</v>
      </c>
      <c r="AG4" s="4">
        <v>0</v>
      </c>
      <c r="AH4" s="4">
        <v>0</v>
      </c>
      <c r="AI4" s="4" t="s">
        <v>58</v>
      </c>
      <c r="AJ4" s="4" t="s">
        <v>58</v>
      </c>
      <c r="AK4" s="4">
        <v>0</v>
      </c>
      <c r="AL4" s="4">
        <v>0</v>
      </c>
      <c r="AM4" s="4">
        <v>0</v>
      </c>
      <c r="AN4" s="4" t="s">
        <v>58</v>
      </c>
      <c r="AO4" s="4" t="s">
        <v>58</v>
      </c>
      <c r="AP4" s="4" t="s">
        <v>58</v>
      </c>
      <c r="AQ4" s="4" t="s">
        <v>58</v>
      </c>
      <c r="AR4" s="4" t="s">
        <v>58</v>
      </c>
      <c r="AS4" s="4">
        <v>0</v>
      </c>
      <c r="AT4" s="4">
        <v>0</v>
      </c>
      <c r="AU4" s="4">
        <v>0</v>
      </c>
      <c r="AV4" s="4" t="s">
        <v>58</v>
      </c>
      <c r="AW4" s="4">
        <v>0</v>
      </c>
      <c r="AX4" s="4">
        <v>0</v>
      </c>
      <c r="AY4" s="4" t="s">
        <v>58</v>
      </c>
      <c r="AZ4" s="4" t="s">
        <v>58</v>
      </c>
    </row>
    <row r="5" spans="1:52" x14ac:dyDescent="0.25">
      <c r="A5" s="4">
        <v>2</v>
      </c>
      <c r="B5" s="5">
        <v>43101</v>
      </c>
      <c r="C5" s="4" t="s">
        <v>6</v>
      </c>
      <c r="D5" s="4">
        <v>2018</v>
      </c>
      <c r="E5" s="4">
        <v>1</v>
      </c>
      <c r="F5" s="4" t="s">
        <v>56</v>
      </c>
      <c r="G5" s="4">
        <v>3</v>
      </c>
      <c r="H5" s="4" t="s">
        <v>57</v>
      </c>
      <c r="I5" s="4">
        <v>7500</v>
      </c>
      <c r="J5" s="4">
        <v>7500</v>
      </c>
      <c r="K5" s="4">
        <v>-3000</v>
      </c>
      <c r="L5" s="4">
        <v>0</v>
      </c>
      <c r="M5" s="4">
        <v>0</v>
      </c>
      <c r="N5" s="4">
        <v>0</v>
      </c>
      <c r="O5" s="4">
        <v>3</v>
      </c>
      <c r="P5" s="4">
        <v>7500</v>
      </c>
      <c r="Q5" s="4">
        <v>7500</v>
      </c>
      <c r="R5" s="4">
        <v>7500</v>
      </c>
      <c r="S5" s="4">
        <v>-1500</v>
      </c>
      <c r="T5" s="4">
        <v>2</v>
      </c>
      <c r="U5" s="4">
        <v>0</v>
      </c>
      <c r="V5" s="4">
        <v>0</v>
      </c>
      <c r="W5" s="4">
        <v>0</v>
      </c>
      <c r="X5" s="8">
        <v>0.4</v>
      </c>
      <c r="Y5" s="8">
        <v>0.2</v>
      </c>
      <c r="Z5" s="4">
        <v>0.2</v>
      </c>
      <c r="AA5" s="4" t="s">
        <v>76</v>
      </c>
      <c r="AB5" s="4" t="s">
        <v>77</v>
      </c>
      <c r="AC5" s="4" t="s">
        <v>7</v>
      </c>
      <c r="AD5" s="4">
        <v>3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-7500</v>
      </c>
      <c r="AM5" s="4">
        <v>7500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-1500</v>
      </c>
      <c r="AV5" s="4">
        <v>0</v>
      </c>
      <c r="AW5" s="4">
        <v>1500</v>
      </c>
      <c r="AX5" s="4">
        <v>-1500</v>
      </c>
      <c r="AY5" s="4">
        <v>0</v>
      </c>
      <c r="AZ5" s="4">
        <v>1500</v>
      </c>
    </row>
    <row r="6" spans="1:52" x14ac:dyDescent="0.25">
      <c r="A6" s="4">
        <v>3</v>
      </c>
      <c r="B6" s="5">
        <v>43132</v>
      </c>
      <c r="C6" s="4" t="s">
        <v>6</v>
      </c>
      <c r="D6" s="4">
        <v>2018</v>
      </c>
      <c r="E6" s="4">
        <v>2</v>
      </c>
      <c r="F6" s="4" t="s">
        <v>56</v>
      </c>
      <c r="G6" s="4" t="s">
        <v>58</v>
      </c>
      <c r="H6" s="4" t="s">
        <v>58</v>
      </c>
      <c r="I6" s="4">
        <v>0</v>
      </c>
      <c r="J6" s="4">
        <v>0</v>
      </c>
      <c r="K6" s="4">
        <v>0</v>
      </c>
      <c r="L6" s="4">
        <v>4000</v>
      </c>
      <c r="M6" s="4">
        <v>0</v>
      </c>
      <c r="N6" s="4">
        <v>0</v>
      </c>
      <c r="O6" s="4">
        <v>3</v>
      </c>
      <c r="P6" s="4">
        <v>7500</v>
      </c>
      <c r="Q6" s="4">
        <v>7500</v>
      </c>
      <c r="R6" s="4">
        <v>7500</v>
      </c>
      <c r="S6" s="4">
        <v>-3000</v>
      </c>
      <c r="T6" s="4">
        <v>3</v>
      </c>
      <c r="U6" s="4">
        <v>-3500</v>
      </c>
      <c r="V6" s="4">
        <v>0</v>
      </c>
      <c r="W6" s="4">
        <v>-3500</v>
      </c>
      <c r="X6" s="8" t="s">
        <v>58</v>
      </c>
      <c r="Y6" s="8">
        <v>0.4</v>
      </c>
      <c r="Z6" s="4">
        <v>0.4</v>
      </c>
      <c r="AA6" s="4" t="s">
        <v>74</v>
      </c>
      <c r="AB6" s="4" t="s">
        <v>73</v>
      </c>
      <c r="AC6" s="4" t="s">
        <v>7</v>
      </c>
      <c r="AD6" s="4">
        <v>3</v>
      </c>
      <c r="AE6" s="4">
        <v>0</v>
      </c>
      <c r="AF6" s="4">
        <v>0</v>
      </c>
      <c r="AG6" s="4">
        <v>0</v>
      </c>
      <c r="AH6" s="4">
        <v>0</v>
      </c>
      <c r="AI6" s="4">
        <v>-3500</v>
      </c>
      <c r="AJ6" s="4">
        <v>0</v>
      </c>
      <c r="AK6" s="4">
        <v>-4000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1400</v>
      </c>
      <c r="AS6" s="4">
        <v>4000</v>
      </c>
      <c r="AT6" s="4">
        <v>0</v>
      </c>
      <c r="AU6" s="4">
        <v>0</v>
      </c>
      <c r="AV6" s="4">
        <v>-2400</v>
      </c>
      <c r="AW6" s="4">
        <v>0</v>
      </c>
      <c r="AX6" s="4">
        <v>0</v>
      </c>
      <c r="AY6" s="4">
        <v>7500</v>
      </c>
      <c r="AZ6" s="4">
        <v>-3000</v>
      </c>
    </row>
    <row r="7" spans="1:52" x14ac:dyDescent="0.25">
      <c r="A7" s="4">
        <v>4</v>
      </c>
      <c r="B7" s="5">
        <v>43160</v>
      </c>
      <c r="C7" s="4" t="s">
        <v>6</v>
      </c>
      <c r="D7" s="4" t="s">
        <v>58</v>
      </c>
      <c r="E7" s="4" t="s">
        <v>58</v>
      </c>
      <c r="F7" s="4" t="s">
        <v>56</v>
      </c>
      <c r="G7" s="4" t="s">
        <v>58</v>
      </c>
      <c r="H7" s="4" t="s">
        <v>58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3</v>
      </c>
      <c r="P7" s="4">
        <v>0</v>
      </c>
      <c r="Q7" s="4">
        <v>0</v>
      </c>
      <c r="R7" s="4">
        <v>7500</v>
      </c>
      <c r="S7" s="4">
        <v>0</v>
      </c>
      <c r="T7" s="4">
        <v>3</v>
      </c>
      <c r="U7" s="4">
        <v>-3500</v>
      </c>
      <c r="V7" s="4">
        <v>0</v>
      </c>
      <c r="W7" s="4">
        <v>-3500</v>
      </c>
      <c r="X7" s="8" t="s">
        <v>58</v>
      </c>
      <c r="Y7" s="8" t="s">
        <v>58</v>
      </c>
      <c r="Z7" s="4" t="s">
        <v>58</v>
      </c>
      <c r="AA7" s="4" t="s">
        <v>76</v>
      </c>
      <c r="AB7" s="4" t="s">
        <v>73</v>
      </c>
      <c r="AC7" s="4" t="s">
        <v>7</v>
      </c>
      <c r="AD7" s="4">
        <v>3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 t="s">
        <v>58</v>
      </c>
      <c r="AO7" s="4" t="s">
        <v>58</v>
      </c>
      <c r="AP7" s="4" t="s">
        <v>58</v>
      </c>
      <c r="AQ7" s="4" t="s">
        <v>58</v>
      </c>
      <c r="AR7" s="4" t="s">
        <v>58</v>
      </c>
      <c r="AS7" s="4">
        <v>0</v>
      </c>
      <c r="AT7" s="4">
        <v>0</v>
      </c>
      <c r="AU7" s="4">
        <v>0</v>
      </c>
      <c r="AV7" s="4" t="s">
        <v>58</v>
      </c>
      <c r="AW7" s="4">
        <v>0</v>
      </c>
      <c r="AX7" s="4">
        <v>0</v>
      </c>
      <c r="AY7" s="4">
        <v>0</v>
      </c>
      <c r="AZ7" s="4">
        <v>0</v>
      </c>
    </row>
    <row r="8" spans="1:52" x14ac:dyDescent="0.25">
      <c r="A8" s="4">
        <v>5</v>
      </c>
      <c r="B8" s="5">
        <v>43070</v>
      </c>
      <c r="C8" s="4" t="s">
        <v>16</v>
      </c>
      <c r="D8" s="4">
        <v>2017</v>
      </c>
      <c r="E8" s="4">
        <v>12</v>
      </c>
      <c r="F8" s="4" t="s">
        <v>62</v>
      </c>
      <c r="G8" s="4">
        <v>2</v>
      </c>
      <c r="H8" s="4" t="s">
        <v>57</v>
      </c>
      <c r="I8" s="4">
        <v>7550</v>
      </c>
      <c r="J8" s="4">
        <v>7500</v>
      </c>
      <c r="K8" s="4">
        <v>-1500</v>
      </c>
      <c r="L8" s="4">
        <v>0</v>
      </c>
      <c r="M8" s="4">
        <v>0</v>
      </c>
      <c r="N8" s="4">
        <v>0</v>
      </c>
      <c r="O8" s="4">
        <v>2</v>
      </c>
      <c r="P8" s="4" t="s">
        <v>58</v>
      </c>
      <c r="Q8" s="4" t="s">
        <v>58</v>
      </c>
      <c r="R8" s="4">
        <v>7500</v>
      </c>
      <c r="S8" s="4" t="s">
        <v>58</v>
      </c>
      <c r="T8" s="4" t="s">
        <v>58</v>
      </c>
      <c r="U8" s="4">
        <v>0</v>
      </c>
      <c r="V8" s="4">
        <v>0</v>
      </c>
      <c r="W8" s="4">
        <v>0</v>
      </c>
      <c r="X8" s="8">
        <v>0.2</v>
      </c>
      <c r="Y8" s="8" t="s">
        <v>58</v>
      </c>
      <c r="Z8" s="4" t="s">
        <v>58</v>
      </c>
      <c r="AA8" s="4" t="s">
        <v>76</v>
      </c>
      <c r="AB8" s="4" t="s">
        <v>73</v>
      </c>
      <c r="AC8" s="4" t="s">
        <v>7</v>
      </c>
      <c r="AD8" s="4">
        <v>2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 t="s">
        <v>58</v>
      </c>
      <c r="AK8" s="4">
        <v>0</v>
      </c>
      <c r="AL8" s="4">
        <v>0</v>
      </c>
      <c r="AM8" s="4">
        <v>0</v>
      </c>
      <c r="AN8" s="4" t="s">
        <v>58</v>
      </c>
      <c r="AO8" s="4" t="s">
        <v>58</v>
      </c>
      <c r="AP8" s="4" t="s">
        <v>58</v>
      </c>
      <c r="AQ8" s="4" t="s">
        <v>58</v>
      </c>
      <c r="AR8" s="4" t="s">
        <v>58</v>
      </c>
      <c r="AS8" s="4">
        <v>0</v>
      </c>
      <c r="AT8" s="4">
        <v>0</v>
      </c>
      <c r="AU8" s="4">
        <v>0</v>
      </c>
      <c r="AV8" s="4" t="s">
        <v>58</v>
      </c>
      <c r="AW8" s="4">
        <v>0</v>
      </c>
      <c r="AX8" s="4">
        <v>0</v>
      </c>
      <c r="AY8" s="4" t="s">
        <v>58</v>
      </c>
      <c r="AZ8" s="4" t="s">
        <v>58</v>
      </c>
    </row>
    <row r="9" spans="1:52" x14ac:dyDescent="0.25">
      <c r="A9" s="4">
        <v>6</v>
      </c>
      <c r="B9" s="5">
        <v>43101</v>
      </c>
      <c r="C9" s="4" t="s">
        <v>16</v>
      </c>
      <c r="D9" s="4">
        <v>2018</v>
      </c>
      <c r="E9" s="4">
        <v>1</v>
      </c>
      <c r="F9" s="4" t="s">
        <v>62</v>
      </c>
      <c r="G9" s="4">
        <v>3</v>
      </c>
      <c r="H9" s="4" t="s">
        <v>57</v>
      </c>
      <c r="I9" s="4">
        <v>7540</v>
      </c>
      <c r="J9" s="4">
        <v>7500</v>
      </c>
      <c r="K9" s="4">
        <v>-3000</v>
      </c>
      <c r="L9" s="4">
        <v>0</v>
      </c>
      <c r="M9" s="4">
        <v>0</v>
      </c>
      <c r="N9" s="4">
        <v>0</v>
      </c>
      <c r="O9" s="4">
        <v>3</v>
      </c>
      <c r="P9" s="4">
        <v>7550</v>
      </c>
      <c r="Q9" s="4">
        <v>7500</v>
      </c>
      <c r="R9" s="4">
        <v>7500</v>
      </c>
      <c r="S9" s="4">
        <v>-1500</v>
      </c>
      <c r="T9" s="4">
        <v>2</v>
      </c>
      <c r="U9" s="4">
        <v>0</v>
      </c>
      <c r="V9" s="4">
        <v>0</v>
      </c>
      <c r="W9" s="4">
        <v>0</v>
      </c>
      <c r="X9" s="8">
        <v>0.4</v>
      </c>
      <c r="Y9" s="8">
        <v>0.2</v>
      </c>
      <c r="Z9" s="4">
        <v>0.2</v>
      </c>
      <c r="AA9" s="4" t="s">
        <v>76</v>
      </c>
      <c r="AB9" s="4" t="s">
        <v>77</v>
      </c>
      <c r="AC9" s="4" t="s">
        <v>7</v>
      </c>
      <c r="AD9" s="4">
        <v>3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-10</v>
      </c>
      <c r="AK9" s="4">
        <v>0</v>
      </c>
      <c r="AL9" s="4">
        <v>-7550</v>
      </c>
      <c r="AM9" s="4">
        <v>7550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-1500</v>
      </c>
      <c r="AV9" s="4">
        <v>0</v>
      </c>
      <c r="AW9" s="4">
        <v>1500</v>
      </c>
      <c r="AX9" s="4">
        <v>-1500</v>
      </c>
      <c r="AY9" s="4">
        <v>10</v>
      </c>
      <c r="AZ9" s="4">
        <v>1500</v>
      </c>
    </row>
    <row r="10" spans="1:52" x14ac:dyDescent="0.25">
      <c r="A10" s="4">
        <v>7</v>
      </c>
      <c r="B10" s="5">
        <v>43132</v>
      </c>
      <c r="C10" s="4" t="s">
        <v>16</v>
      </c>
      <c r="D10" s="4">
        <v>2018</v>
      </c>
      <c r="E10" s="4">
        <v>2</v>
      </c>
      <c r="F10" s="4" t="s">
        <v>62</v>
      </c>
      <c r="G10" s="4" t="s">
        <v>58</v>
      </c>
      <c r="H10" s="4" t="s">
        <v>58</v>
      </c>
      <c r="I10" s="4">
        <v>30</v>
      </c>
      <c r="J10" s="4">
        <v>0</v>
      </c>
      <c r="K10" s="4">
        <v>0</v>
      </c>
      <c r="L10" s="4">
        <v>4000</v>
      </c>
      <c r="M10" s="4">
        <v>0</v>
      </c>
      <c r="N10" s="4">
        <v>0</v>
      </c>
      <c r="O10" s="4">
        <v>3</v>
      </c>
      <c r="P10" s="4">
        <v>7540</v>
      </c>
      <c r="Q10" s="4">
        <v>7500</v>
      </c>
      <c r="R10" s="4">
        <v>7500</v>
      </c>
      <c r="S10" s="4">
        <v>-3000</v>
      </c>
      <c r="T10" s="4">
        <v>3</v>
      </c>
      <c r="U10" s="4">
        <v>-3500</v>
      </c>
      <c r="V10" s="4">
        <v>0</v>
      </c>
      <c r="W10" s="4">
        <v>-3500</v>
      </c>
      <c r="X10" s="8" t="s">
        <v>58</v>
      </c>
      <c r="Y10" s="8">
        <v>0.4</v>
      </c>
      <c r="Z10" s="4">
        <v>0.4</v>
      </c>
      <c r="AA10" s="4" t="s">
        <v>74</v>
      </c>
      <c r="AB10" s="4" t="s">
        <v>73</v>
      </c>
      <c r="AC10" s="4" t="s">
        <v>7</v>
      </c>
      <c r="AD10" s="4">
        <v>3</v>
      </c>
      <c r="AE10" s="4">
        <v>0</v>
      </c>
      <c r="AF10" s="4">
        <v>0</v>
      </c>
      <c r="AG10" s="4">
        <v>-3500</v>
      </c>
      <c r="AH10" s="4">
        <v>0</v>
      </c>
      <c r="AI10" s="4">
        <v>0</v>
      </c>
      <c r="AJ10" s="4">
        <v>-10</v>
      </c>
      <c r="AK10" s="4">
        <v>-4000</v>
      </c>
      <c r="AL10" s="4">
        <v>0</v>
      </c>
      <c r="AM10" s="4">
        <v>0</v>
      </c>
      <c r="AN10" s="4">
        <v>0</v>
      </c>
      <c r="AO10" s="4">
        <v>0</v>
      </c>
      <c r="AP10" s="4">
        <v>1400</v>
      </c>
      <c r="AQ10" s="4">
        <v>0</v>
      </c>
      <c r="AR10" s="4">
        <v>0</v>
      </c>
      <c r="AS10" s="4">
        <v>4000</v>
      </c>
      <c r="AT10" s="4">
        <v>0</v>
      </c>
      <c r="AU10" s="4">
        <v>0</v>
      </c>
      <c r="AV10" s="4">
        <v>-2400</v>
      </c>
      <c r="AW10" s="4">
        <v>0</v>
      </c>
      <c r="AX10" s="4">
        <v>0</v>
      </c>
      <c r="AY10" s="4">
        <v>7510</v>
      </c>
      <c r="AZ10" s="4">
        <v>-3000</v>
      </c>
    </row>
    <row r="11" spans="1:52" x14ac:dyDescent="0.25">
      <c r="A11" s="4">
        <v>8</v>
      </c>
      <c r="B11" s="5">
        <v>43160</v>
      </c>
      <c r="C11" s="4" t="s">
        <v>16</v>
      </c>
      <c r="D11" s="4" t="s">
        <v>58</v>
      </c>
      <c r="E11" s="4" t="s">
        <v>58</v>
      </c>
      <c r="F11" s="4" t="s">
        <v>62</v>
      </c>
      <c r="G11" s="4" t="s">
        <v>58</v>
      </c>
      <c r="H11" s="4" t="s">
        <v>58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3</v>
      </c>
      <c r="P11" s="4">
        <v>30</v>
      </c>
      <c r="Q11" s="4">
        <v>0</v>
      </c>
      <c r="R11" s="4">
        <v>7500</v>
      </c>
      <c r="S11" s="4">
        <v>0</v>
      </c>
      <c r="T11" s="4">
        <v>3</v>
      </c>
      <c r="U11" s="4">
        <v>-3500</v>
      </c>
      <c r="V11" s="4">
        <v>0</v>
      </c>
      <c r="W11" s="4">
        <v>-3500</v>
      </c>
      <c r="X11" s="8" t="s">
        <v>58</v>
      </c>
      <c r="Y11" s="8" t="s">
        <v>58</v>
      </c>
      <c r="Z11" s="4" t="s">
        <v>58</v>
      </c>
      <c r="AA11" s="4" t="s">
        <v>76</v>
      </c>
      <c r="AB11" s="4" t="s">
        <v>73</v>
      </c>
      <c r="AC11" s="4" t="s">
        <v>7</v>
      </c>
      <c r="AD11" s="4">
        <v>3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-30</v>
      </c>
      <c r="AK11" s="4">
        <v>0</v>
      </c>
      <c r="AL11" s="4">
        <v>0</v>
      </c>
      <c r="AM11" s="4">
        <v>0</v>
      </c>
      <c r="AN11" s="4" t="s">
        <v>58</v>
      </c>
      <c r="AO11" s="4" t="s">
        <v>58</v>
      </c>
      <c r="AP11" s="4" t="s">
        <v>58</v>
      </c>
      <c r="AQ11" s="4" t="s">
        <v>58</v>
      </c>
      <c r="AR11" s="4" t="s">
        <v>58</v>
      </c>
      <c r="AS11" s="4">
        <v>0</v>
      </c>
      <c r="AT11" s="4">
        <v>0</v>
      </c>
      <c r="AU11" s="4">
        <v>0</v>
      </c>
      <c r="AV11" s="4" t="s">
        <v>58</v>
      </c>
      <c r="AW11" s="4">
        <v>0</v>
      </c>
      <c r="AX11" s="4">
        <v>0</v>
      </c>
      <c r="AY11" s="4">
        <v>30</v>
      </c>
      <c r="AZ11" s="4">
        <v>0</v>
      </c>
    </row>
    <row r="12" spans="1:52" x14ac:dyDescent="0.25">
      <c r="A12" s="4">
        <v>9</v>
      </c>
      <c r="B12" s="5">
        <v>43070</v>
      </c>
      <c r="C12" s="4" t="s">
        <v>19</v>
      </c>
      <c r="D12" s="4">
        <v>2017</v>
      </c>
      <c r="E12" s="4">
        <v>12</v>
      </c>
      <c r="F12" s="4" t="s">
        <v>62</v>
      </c>
      <c r="G12" s="4">
        <v>2</v>
      </c>
      <c r="H12" s="4" t="s">
        <v>57</v>
      </c>
      <c r="I12" s="4">
        <v>7550</v>
      </c>
      <c r="J12" s="4">
        <v>7500</v>
      </c>
      <c r="K12" s="4">
        <v>-1500</v>
      </c>
      <c r="L12" s="4">
        <v>0</v>
      </c>
      <c r="M12" s="4">
        <v>0</v>
      </c>
      <c r="N12" s="4">
        <v>0</v>
      </c>
      <c r="O12" s="4">
        <v>2</v>
      </c>
      <c r="P12" s="4" t="s">
        <v>58</v>
      </c>
      <c r="Q12" s="4" t="s">
        <v>58</v>
      </c>
      <c r="R12" s="4">
        <v>7500</v>
      </c>
      <c r="S12" s="4" t="s">
        <v>58</v>
      </c>
      <c r="T12" s="4" t="s">
        <v>58</v>
      </c>
      <c r="U12" s="4">
        <v>0</v>
      </c>
      <c r="V12" s="4">
        <v>0</v>
      </c>
      <c r="W12" s="4">
        <v>0</v>
      </c>
      <c r="X12" s="8">
        <v>0.2</v>
      </c>
      <c r="Y12" s="8" t="s">
        <v>58</v>
      </c>
      <c r="Z12" s="4" t="s">
        <v>58</v>
      </c>
      <c r="AA12" s="4" t="s">
        <v>76</v>
      </c>
      <c r="AB12" s="4" t="s">
        <v>73</v>
      </c>
      <c r="AC12" s="4" t="s">
        <v>7</v>
      </c>
      <c r="AD12" s="4">
        <v>2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 t="s">
        <v>58</v>
      </c>
      <c r="AK12" s="4">
        <v>0</v>
      </c>
      <c r="AL12" s="4">
        <v>0</v>
      </c>
      <c r="AM12" s="4">
        <v>0</v>
      </c>
      <c r="AN12" s="4" t="s">
        <v>58</v>
      </c>
      <c r="AO12" s="4" t="s">
        <v>58</v>
      </c>
      <c r="AP12" s="4" t="s">
        <v>58</v>
      </c>
      <c r="AQ12" s="4" t="s">
        <v>58</v>
      </c>
      <c r="AR12" s="4" t="s">
        <v>58</v>
      </c>
      <c r="AS12" s="4">
        <v>0</v>
      </c>
      <c r="AT12" s="4">
        <v>0</v>
      </c>
      <c r="AU12" s="4">
        <v>0</v>
      </c>
      <c r="AV12" s="4" t="s">
        <v>58</v>
      </c>
      <c r="AW12" s="4">
        <v>0</v>
      </c>
      <c r="AX12" s="4">
        <v>0</v>
      </c>
      <c r="AY12" s="4" t="s">
        <v>58</v>
      </c>
      <c r="AZ12" s="4" t="s">
        <v>58</v>
      </c>
    </row>
    <row r="13" spans="1:52" x14ac:dyDescent="0.25">
      <c r="A13" s="4">
        <v>10</v>
      </c>
      <c r="B13" s="5">
        <v>43101</v>
      </c>
      <c r="C13" s="4" t="s">
        <v>19</v>
      </c>
      <c r="D13" s="4">
        <v>2018</v>
      </c>
      <c r="E13" s="4">
        <v>1</v>
      </c>
      <c r="F13" s="4" t="s">
        <v>62</v>
      </c>
      <c r="G13" s="4">
        <v>3</v>
      </c>
      <c r="H13" s="4" t="s">
        <v>57</v>
      </c>
      <c r="I13" s="4">
        <v>7540</v>
      </c>
      <c r="J13" s="4">
        <v>7500</v>
      </c>
      <c r="K13" s="4">
        <v>-3000</v>
      </c>
      <c r="L13" s="4">
        <v>0</v>
      </c>
      <c r="M13" s="4">
        <v>0</v>
      </c>
      <c r="N13" s="4">
        <v>0</v>
      </c>
      <c r="O13" s="4">
        <v>3</v>
      </c>
      <c r="P13" s="4">
        <v>7550</v>
      </c>
      <c r="Q13" s="4">
        <v>7500</v>
      </c>
      <c r="R13" s="4">
        <v>7500</v>
      </c>
      <c r="S13" s="4">
        <v>-1500</v>
      </c>
      <c r="T13" s="4">
        <v>2</v>
      </c>
      <c r="U13" s="4">
        <v>0</v>
      </c>
      <c r="V13" s="4">
        <v>0</v>
      </c>
      <c r="W13" s="4">
        <v>0</v>
      </c>
      <c r="X13" s="8">
        <v>0.4</v>
      </c>
      <c r="Y13" s="8">
        <v>0.2</v>
      </c>
      <c r="Z13" s="4">
        <v>0.2</v>
      </c>
      <c r="AA13" s="4" t="s">
        <v>76</v>
      </c>
      <c r="AB13" s="4" t="s">
        <v>77</v>
      </c>
      <c r="AC13" s="4" t="s">
        <v>7</v>
      </c>
      <c r="AD13" s="4">
        <v>3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-10</v>
      </c>
      <c r="AK13" s="4">
        <v>0</v>
      </c>
      <c r="AL13" s="4">
        <v>-7550</v>
      </c>
      <c r="AM13" s="4">
        <v>7550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-1500</v>
      </c>
      <c r="AV13" s="4">
        <v>0</v>
      </c>
      <c r="AW13" s="4">
        <v>1500</v>
      </c>
      <c r="AX13" s="4">
        <v>-1500</v>
      </c>
      <c r="AY13" s="4">
        <v>10</v>
      </c>
      <c r="AZ13" s="4">
        <v>1500</v>
      </c>
    </row>
    <row r="14" spans="1:52" x14ac:dyDescent="0.25">
      <c r="A14" s="4">
        <v>11</v>
      </c>
      <c r="B14" s="5">
        <v>43132</v>
      </c>
      <c r="C14" s="4" t="s">
        <v>19</v>
      </c>
      <c r="D14" s="4">
        <v>2018</v>
      </c>
      <c r="E14" s="4">
        <v>2</v>
      </c>
      <c r="F14" s="4" t="s">
        <v>62</v>
      </c>
      <c r="G14" s="4" t="s">
        <v>58</v>
      </c>
      <c r="H14" s="4" t="s">
        <v>58</v>
      </c>
      <c r="I14" s="4">
        <v>30</v>
      </c>
      <c r="J14" s="4">
        <v>0</v>
      </c>
      <c r="K14" s="4">
        <v>0</v>
      </c>
      <c r="L14" s="4">
        <v>2000</v>
      </c>
      <c r="M14" s="4">
        <v>0</v>
      </c>
      <c r="N14" s="4">
        <v>0</v>
      </c>
      <c r="O14" s="4">
        <v>3</v>
      </c>
      <c r="P14" s="4">
        <v>7540</v>
      </c>
      <c r="Q14" s="4">
        <v>7500</v>
      </c>
      <c r="R14" s="4">
        <v>7500</v>
      </c>
      <c r="S14" s="4">
        <v>-3000</v>
      </c>
      <c r="T14" s="4">
        <v>3</v>
      </c>
      <c r="U14" s="4">
        <v>-5500</v>
      </c>
      <c r="V14" s="4">
        <v>0</v>
      </c>
      <c r="W14" s="4">
        <v>-5500</v>
      </c>
      <c r="X14" s="8" t="s">
        <v>58</v>
      </c>
      <c r="Y14" s="8">
        <v>0.4</v>
      </c>
      <c r="Z14" s="4">
        <v>0.4</v>
      </c>
      <c r="AA14" s="4" t="s">
        <v>74</v>
      </c>
      <c r="AB14" s="4" t="s">
        <v>73</v>
      </c>
      <c r="AC14" s="4" t="s">
        <v>7</v>
      </c>
      <c r="AD14" s="4">
        <v>3</v>
      </c>
      <c r="AE14" s="4">
        <v>0</v>
      </c>
      <c r="AF14" s="4">
        <v>0</v>
      </c>
      <c r="AG14" s="4">
        <v>-5500</v>
      </c>
      <c r="AH14" s="4">
        <v>0</v>
      </c>
      <c r="AI14" s="4">
        <v>0</v>
      </c>
      <c r="AJ14" s="4">
        <v>-10</v>
      </c>
      <c r="AK14" s="4">
        <v>-2000</v>
      </c>
      <c r="AL14" s="4">
        <v>0</v>
      </c>
      <c r="AM14" s="4">
        <v>0</v>
      </c>
      <c r="AN14" s="4">
        <v>0</v>
      </c>
      <c r="AO14" s="4">
        <v>0</v>
      </c>
      <c r="AP14" s="4">
        <v>2200</v>
      </c>
      <c r="AQ14" s="4">
        <v>0</v>
      </c>
      <c r="AR14" s="4">
        <v>0</v>
      </c>
      <c r="AS14" s="4">
        <v>2000</v>
      </c>
      <c r="AT14" s="4">
        <v>0</v>
      </c>
      <c r="AU14" s="4">
        <v>0</v>
      </c>
      <c r="AV14" s="4">
        <v>-1200</v>
      </c>
      <c r="AW14" s="4">
        <v>0</v>
      </c>
      <c r="AX14" s="4">
        <v>0</v>
      </c>
      <c r="AY14" s="4">
        <v>7510</v>
      </c>
      <c r="AZ14" s="4">
        <v>-3000</v>
      </c>
    </row>
    <row r="15" spans="1:52" x14ac:dyDescent="0.25">
      <c r="A15" s="4">
        <v>12</v>
      </c>
      <c r="B15" s="5">
        <v>43160</v>
      </c>
      <c r="C15" s="4" t="s">
        <v>19</v>
      </c>
      <c r="D15" s="4" t="s">
        <v>58</v>
      </c>
      <c r="E15" s="4" t="s">
        <v>58</v>
      </c>
      <c r="F15" s="4" t="s">
        <v>62</v>
      </c>
      <c r="G15" s="4" t="s">
        <v>58</v>
      </c>
      <c r="H15" s="4" t="s">
        <v>58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3</v>
      </c>
      <c r="P15" s="4">
        <v>30</v>
      </c>
      <c r="Q15" s="4">
        <v>0</v>
      </c>
      <c r="R15" s="4">
        <v>7500</v>
      </c>
      <c r="S15" s="4">
        <v>0</v>
      </c>
      <c r="T15" s="4">
        <v>3</v>
      </c>
      <c r="U15" s="4">
        <v>-5500</v>
      </c>
      <c r="V15" s="4">
        <v>0</v>
      </c>
      <c r="W15" s="4">
        <v>-5500</v>
      </c>
      <c r="X15" s="8" t="s">
        <v>58</v>
      </c>
      <c r="Y15" s="8" t="s">
        <v>58</v>
      </c>
      <c r="Z15" s="4" t="s">
        <v>58</v>
      </c>
      <c r="AA15" s="4" t="s">
        <v>76</v>
      </c>
      <c r="AB15" s="4" t="s">
        <v>73</v>
      </c>
      <c r="AC15" s="4" t="s">
        <v>7</v>
      </c>
      <c r="AD15" s="4">
        <v>3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-30</v>
      </c>
      <c r="AK15" s="4">
        <v>0</v>
      </c>
      <c r="AL15" s="4">
        <v>0</v>
      </c>
      <c r="AM15" s="4">
        <v>0</v>
      </c>
      <c r="AN15" s="4" t="s">
        <v>58</v>
      </c>
      <c r="AO15" s="4" t="s">
        <v>58</v>
      </c>
      <c r="AP15" s="4" t="s">
        <v>58</v>
      </c>
      <c r="AQ15" s="4" t="s">
        <v>58</v>
      </c>
      <c r="AR15" s="4" t="s">
        <v>58</v>
      </c>
      <c r="AS15" s="4">
        <v>0</v>
      </c>
      <c r="AT15" s="4">
        <v>0</v>
      </c>
      <c r="AU15" s="4">
        <v>0</v>
      </c>
      <c r="AV15" s="4" t="s">
        <v>58</v>
      </c>
      <c r="AW15" s="4">
        <v>0</v>
      </c>
      <c r="AX15" s="4">
        <v>0</v>
      </c>
      <c r="AY15" s="4">
        <v>30</v>
      </c>
      <c r="AZ15" s="4">
        <v>0</v>
      </c>
    </row>
    <row r="16" spans="1:52" x14ac:dyDescent="0.25">
      <c r="A16" s="4">
        <v>13</v>
      </c>
      <c r="B16" s="5">
        <v>43070</v>
      </c>
      <c r="C16" s="4" t="s">
        <v>20</v>
      </c>
      <c r="D16" s="4">
        <v>2017</v>
      </c>
      <c r="E16" s="4">
        <v>12</v>
      </c>
      <c r="F16" s="4" t="s">
        <v>62</v>
      </c>
      <c r="G16" s="4">
        <v>2</v>
      </c>
      <c r="H16" s="4" t="s">
        <v>57</v>
      </c>
      <c r="I16" s="4">
        <v>7550</v>
      </c>
      <c r="J16" s="4">
        <v>7500</v>
      </c>
      <c r="K16" s="4">
        <v>-1500</v>
      </c>
      <c r="L16" s="4">
        <v>0</v>
      </c>
      <c r="M16" s="4">
        <v>0</v>
      </c>
      <c r="N16" s="4">
        <v>0</v>
      </c>
      <c r="O16" s="4">
        <v>2</v>
      </c>
      <c r="P16" s="4" t="s">
        <v>58</v>
      </c>
      <c r="Q16" s="4" t="s">
        <v>58</v>
      </c>
      <c r="R16" s="4">
        <v>7500</v>
      </c>
      <c r="S16" s="4" t="s">
        <v>58</v>
      </c>
      <c r="T16" s="4" t="s">
        <v>58</v>
      </c>
      <c r="U16" s="4">
        <v>0</v>
      </c>
      <c r="V16" s="4">
        <v>0</v>
      </c>
      <c r="W16" s="4">
        <v>0</v>
      </c>
      <c r="X16" s="8">
        <v>0.2</v>
      </c>
      <c r="Y16" s="8" t="s">
        <v>58</v>
      </c>
      <c r="Z16" s="4" t="s">
        <v>58</v>
      </c>
      <c r="AA16" s="4" t="s">
        <v>76</v>
      </c>
      <c r="AB16" s="4" t="s">
        <v>73</v>
      </c>
      <c r="AC16" s="4" t="s">
        <v>7</v>
      </c>
      <c r="AD16" s="4">
        <v>2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 t="s">
        <v>58</v>
      </c>
      <c r="AK16" s="4">
        <v>0</v>
      </c>
      <c r="AL16" s="4">
        <v>0</v>
      </c>
      <c r="AM16" s="4">
        <v>0</v>
      </c>
      <c r="AN16" s="4" t="s">
        <v>58</v>
      </c>
      <c r="AO16" s="4" t="s">
        <v>58</v>
      </c>
      <c r="AP16" s="4" t="s">
        <v>58</v>
      </c>
      <c r="AQ16" s="4" t="s">
        <v>58</v>
      </c>
      <c r="AR16" s="4" t="s">
        <v>58</v>
      </c>
      <c r="AS16" s="4">
        <v>0</v>
      </c>
      <c r="AT16" s="4">
        <v>0</v>
      </c>
      <c r="AU16" s="4">
        <v>0</v>
      </c>
      <c r="AV16" s="4" t="s">
        <v>58</v>
      </c>
      <c r="AW16" s="4">
        <v>0</v>
      </c>
      <c r="AX16" s="4">
        <v>0</v>
      </c>
      <c r="AY16" s="4" t="s">
        <v>58</v>
      </c>
      <c r="AZ16" s="4" t="s">
        <v>58</v>
      </c>
    </row>
    <row r="17" spans="1:52" x14ac:dyDescent="0.25">
      <c r="A17" s="4">
        <v>14</v>
      </c>
      <c r="B17" s="5">
        <v>43101</v>
      </c>
      <c r="C17" s="4" t="s">
        <v>20</v>
      </c>
      <c r="D17" s="4">
        <v>2018</v>
      </c>
      <c r="E17" s="4">
        <v>1</v>
      </c>
      <c r="F17" s="4" t="s">
        <v>62</v>
      </c>
      <c r="G17" s="4">
        <v>3</v>
      </c>
      <c r="H17" s="4" t="s">
        <v>57</v>
      </c>
      <c r="I17" s="4">
        <v>7540</v>
      </c>
      <c r="J17" s="4">
        <v>7500</v>
      </c>
      <c r="K17" s="4">
        <v>-1800</v>
      </c>
      <c r="L17" s="4">
        <v>0</v>
      </c>
      <c r="M17" s="4">
        <v>0</v>
      </c>
      <c r="N17" s="4">
        <v>0</v>
      </c>
      <c r="O17" s="4">
        <v>3</v>
      </c>
      <c r="P17" s="4">
        <v>7550</v>
      </c>
      <c r="Q17" s="4">
        <v>7500</v>
      </c>
      <c r="R17" s="4">
        <v>7500</v>
      </c>
      <c r="S17" s="4">
        <v>-1500</v>
      </c>
      <c r="T17" s="4">
        <v>2</v>
      </c>
      <c r="U17" s="4">
        <v>0</v>
      </c>
      <c r="V17" s="4">
        <v>0</v>
      </c>
      <c r="W17" s="4">
        <v>0</v>
      </c>
      <c r="X17" s="8">
        <v>0.24</v>
      </c>
      <c r="Y17" s="8">
        <v>0.2</v>
      </c>
      <c r="Z17" s="4">
        <v>0.2</v>
      </c>
      <c r="AA17" s="4" t="s">
        <v>76</v>
      </c>
      <c r="AB17" s="4" t="s">
        <v>77</v>
      </c>
      <c r="AC17" s="4" t="s">
        <v>7</v>
      </c>
      <c r="AD17" s="4">
        <v>3</v>
      </c>
      <c r="AE17" s="4">
        <v>0</v>
      </c>
      <c r="AF17" s="4">
        <v>0</v>
      </c>
      <c r="AG17" s="4">
        <v>0</v>
      </c>
      <c r="AH17" s="4">
        <v>0</v>
      </c>
      <c r="AI17" s="4">
        <v>0</v>
      </c>
      <c r="AJ17" s="4">
        <v>-10</v>
      </c>
      <c r="AK17" s="4">
        <v>0</v>
      </c>
      <c r="AL17" s="4">
        <v>-7550</v>
      </c>
      <c r="AM17" s="4">
        <v>7550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-300</v>
      </c>
      <c r="AV17" s="4">
        <v>0</v>
      </c>
      <c r="AW17" s="4">
        <v>1500</v>
      </c>
      <c r="AX17" s="4">
        <v>-1500</v>
      </c>
      <c r="AY17" s="4">
        <v>10</v>
      </c>
      <c r="AZ17" s="4">
        <v>300</v>
      </c>
    </row>
    <row r="18" spans="1:52" x14ac:dyDescent="0.25">
      <c r="A18" s="4">
        <v>15</v>
      </c>
      <c r="B18" s="5">
        <v>43132</v>
      </c>
      <c r="C18" s="4" t="s">
        <v>20</v>
      </c>
      <c r="D18" s="4">
        <v>2018</v>
      </c>
      <c r="E18" s="4">
        <v>2</v>
      </c>
      <c r="F18" s="4" t="s">
        <v>62</v>
      </c>
      <c r="G18" s="4">
        <v>3</v>
      </c>
      <c r="H18" s="4" t="s">
        <v>57</v>
      </c>
      <c r="I18" s="4">
        <v>2030</v>
      </c>
      <c r="J18" s="4">
        <v>2000</v>
      </c>
      <c r="K18" s="4">
        <v>-480</v>
      </c>
      <c r="L18" s="4">
        <v>2000</v>
      </c>
      <c r="M18" s="4">
        <v>0</v>
      </c>
      <c r="N18" s="4">
        <v>0</v>
      </c>
      <c r="O18" s="4">
        <v>3</v>
      </c>
      <c r="P18" s="4">
        <v>7540</v>
      </c>
      <c r="Q18" s="4">
        <v>7500</v>
      </c>
      <c r="R18" s="4">
        <v>7500</v>
      </c>
      <c r="S18" s="4">
        <v>-1800</v>
      </c>
      <c r="T18" s="4">
        <v>3</v>
      </c>
      <c r="U18" s="4">
        <v>-3500</v>
      </c>
      <c r="V18" s="4">
        <v>0</v>
      </c>
      <c r="W18" s="4">
        <v>-3500</v>
      </c>
      <c r="X18" s="8">
        <v>0.24</v>
      </c>
      <c r="Y18" s="8">
        <v>0.24</v>
      </c>
      <c r="Z18" s="4">
        <v>0.24</v>
      </c>
      <c r="AA18" s="4" t="s">
        <v>74</v>
      </c>
      <c r="AB18" s="4" t="s">
        <v>73</v>
      </c>
      <c r="AC18" s="4" t="s">
        <v>7</v>
      </c>
      <c r="AD18" s="4">
        <v>3</v>
      </c>
      <c r="AE18" s="4">
        <v>0</v>
      </c>
      <c r="AF18" s="4">
        <v>0</v>
      </c>
      <c r="AG18" s="4">
        <v>0</v>
      </c>
      <c r="AH18" s="4">
        <v>-3500</v>
      </c>
      <c r="AI18" s="4">
        <v>0</v>
      </c>
      <c r="AJ18" s="4">
        <v>-10</v>
      </c>
      <c r="AK18" s="4">
        <v>-2000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840</v>
      </c>
      <c r="AR18" s="4">
        <v>0</v>
      </c>
      <c r="AS18" s="4">
        <v>2000</v>
      </c>
      <c r="AT18" s="4">
        <v>0</v>
      </c>
      <c r="AU18" s="4">
        <v>0</v>
      </c>
      <c r="AV18" s="4">
        <v>-1520</v>
      </c>
      <c r="AW18" s="4">
        <v>0</v>
      </c>
      <c r="AX18" s="4">
        <v>0</v>
      </c>
      <c r="AY18" s="4">
        <v>5510</v>
      </c>
      <c r="AZ18" s="4">
        <v>-1320</v>
      </c>
    </row>
    <row r="19" spans="1:52" x14ac:dyDescent="0.25">
      <c r="A19" s="4">
        <v>16</v>
      </c>
      <c r="B19" s="5">
        <v>43160</v>
      </c>
      <c r="C19" s="4" t="s">
        <v>20</v>
      </c>
      <c r="D19" s="4" t="s">
        <v>58</v>
      </c>
      <c r="E19" s="4" t="s">
        <v>58</v>
      </c>
      <c r="F19" s="4" t="s">
        <v>62</v>
      </c>
      <c r="G19" s="4" t="s">
        <v>58</v>
      </c>
      <c r="H19" s="4" t="s">
        <v>58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3</v>
      </c>
      <c r="P19" s="4">
        <v>2030</v>
      </c>
      <c r="Q19" s="4">
        <v>2000</v>
      </c>
      <c r="R19" s="4">
        <v>7500</v>
      </c>
      <c r="S19" s="4">
        <v>-480</v>
      </c>
      <c r="T19" s="4">
        <v>3</v>
      </c>
      <c r="U19" s="4">
        <v>-5500</v>
      </c>
      <c r="V19" s="4">
        <v>0</v>
      </c>
      <c r="W19" s="4">
        <v>-5500</v>
      </c>
      <c r="X19" s="8" t="s">
        <v>58</v>
      </c>
      <c r="Y19" s="8">
        <v>0.24</v>
      </c>
      <c r="Z19" s="4">
        <v>0.24</v>
      </c>
      <c r="AA19" s="4" t="s">
        <v>74</v>
      </c>
      <c r="AB19" s="4" t="s">
        <v>73</v>
      </c>
      <c r="AC19" s="4" t="s">
        <v>7</v>
      </c>
      <c r="AD19" s="4">
        <v>3</v>
      </c>
      <c r="AE19" s="4">
        <v>0</v>
      </c>
      <c r="AF19" s="4">
        <v>0</v>
      </c>
      <c r="AG19" s="4">
        <v>-2000</v>
      </c>
      <c r="AH19" s="4">
        <v>0</v>
      </c>
      <c r="AI19" s="4">
        <v>0</v>
      </c>
      <c r="AJ19" s="4">
        <v>-30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480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4">
        <v>0</v>
      </c>
      <c r="AX19" s="4">
        <v>0</v>
      </c>
      <c r="AY19" s="4">
        <v>2030</v>
      </c>
      <c r="AZ19" s="4">
        <v>-480</v>
      </c>
    </row>
    <row r="20" spans="1:52" x14ac:dyDescent="0.25">
      <c r="A20" s="4">
        <v>17</v>
      </c>
      <c r="B20" s="5">
        <v>43070</v>
      </c>
      <c r="C20" s="4" t="s">
        <v>22</v>
      </c>
      <c r="D20" s="4">
        <v>2017</v>
      </c>
      <c r="E20" s="4">
        <v>12</v>
      </c>
      <c r="F20" s="4" t="s">
        <v>62</v>
      </c>
      <c r="G20" s="4">
        <v>1</v>
      </c>
      <c r="H20" s="4" t="s">
        <v>57</v>
      </c>
      <c r="I20" s="4">
        <v>950</v>
      </c>
      <c r="J20" s="4">
        <v>1000</v>
      </c>
      <c r="K20" s="4">
        <v>-9.5</v>
      </c>
      <c r="L20" s="4">
        <v>0</v>
      </c>
      <c r="M20" s="4">
        <v>0</v>
      </c>
      <c r="N20" s="4">
        <v>0</v>
      </c>
      <c r="O20" s="4">
        <v>1</v>
      </c>
      <c r="P20" s="4" t="s">
        <v>58</v>
      </c>
      <c r="Q20" s="4" t="s">
        <v>58</v>
      </c>
      <c r="R20" s="4">
        <v>1000</v>
      </c>
      <c r="S20" s="4" t="s">
        <v>58</v>
      </c>
      <c r="T20" s="4" t="s">
        <v>58</v>
      </c>
      <c r="U20" s="4">
        <v>0</v>
      </c>
      <c r="V20" s="4">
        <v>0</v>
      </c>
      <c r="W20" s="4">
        <v>0</v>
      </c>
      <c r="X20" s="8">
        <v>9.4999999999999998E-3</v>
      </c>
      <c r="Y20" s="8" t="s">
        <v>58</v>
      </c>
      <c r="Z20" s="4" t="s">
        <v>58</v>
      </c>
      <c r="AA20" s="4" t="s">
        <v>76</v>
      </c>
      <c r="AB20" s="4" t="s">
        <v>73</v>
      </c>
      <c r="AC20" s="4" t="s">
        <v>7</v>
      </c>
      <c r="AD20" s="4">
        <v>1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 t="s">
        <v>58</v>
      </c>
      <c r="AK20" s="4">
        <v>0</v>
      </c>
      <c r="AL20" s="4">
        <v>0</v>
      </c>
      <c r="AM20" s="4">
        <v>0</v>
      </c>
      <c r="AN20" s="4" t="s">
        <v>58</v>
      </c>
      <c r="AO20" s="4" t="s">
        <v>58</v>
      </c>
      <c r="AP20" s="4" t="s">
        <v>58</v>
      </c>
      <c r="AQ20" s="4" t="s">
        <v>58</v>
      </c>
      <c r="AR20" s="4" t="s">
        <v>58</v>
      </c>
      <c r="AS20" s="4">
        <v>0</v>
      </c>
      <c r="AT20" s="4">
        <v>0</v>
      </c>
      <c r="AU20" s="4">
        <v>0</v>
      </c>
      <c r="AV20" s="4" t="s">
        <v>58</v>
      </c>
      <c r="AW20" s="4">
        <v>0</v>
      </c>
      <c r="AX20" s="4">
        <v>0</v>
      </c>
      <c r="AY20" s="4" t="s">
        <v>58</v>
      </c>
      <c r="AZ20" s="4" t="s">
        <v>58</v>
      </c>
    </row>
    <row r="21" spans="1:52" x14ac:dyDescent="0.25">
      <c r="A21" s="4">
        <v>18</v>
      </c>
      <c r="B21" s="5">
        <v>43101</v>
      </c>
      <c r="C21" s="4" t="s">
        <v>22</v>
      </c>
      <c r="D21" s="4">
        <v>2018</v>
      </c>
      <c r="E21" s="4">
        <v>1</v>
      </c>
      <c r="F21" s="4" t="s">
        <v>62</v>
      </c>
      <c r="G21" s="4">
        <v>1</v>
      </c>
      <c r="H21" s="4" t="s">
        <v>57</v>
      </c>
      <c r="I21" s="4">
        <v>975</v>
      </c>
      <c r="J21" s="4">
        <v>1000</v>
      </c>
      <c r="K21" s="4">
        <v>-9.5</v>
      </c>
      <c r="L21" s="4">
        <v>0</v>
      </c>
      <c r="M21" s="4">
        <v>0</v>
      </c>
      <c r="N21" s="4">
        <v>0</v>
      </c>
      <c r="O21" s="4">
        <v>1</v>
      </c>
      <c r="P21" s="4">
        <v>950</v>
      </c>
      <c r="Q21" s="4">
        <v>1000</v>
      </c>
      <c r="R21" s="4">
        <v>1000</v>
      </c>
      <c r="S21" s="4">
        <v>-9.5</v>
      </c>
      <c r="T21" s="4">
        <v>1</v>
      </c>
      <c r="U21" s="4">
        <v>0</v>
      </c>
      <c r="V21" s="4">
        <v>0</v>
      </c>
      <c r="W21" s="4">
        <v>0</v>
      </c>
      <c r="X21" s="8">
        <v>9.4999999999999998E-3</v>
      </c>
      <c r="Y21" s="8">
        <v>9.4999999999999998E-3</v>
      </c>
      <c r="Z21" s="4">
        <v>0.01</v>
      </c>
      <c r="AA21" s="4" t="s">
        <v>76</v>
      </c>
      <c r="AB21" s="4" t="s">
        <v>73</v>
      </c>
      <c r="AC21" s="4" t="s">
        <v>7</v>
      </c>
      <c r="AD21" s="4">
        <v>1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25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4">
        <v>0</v>
      </c>
      <c r="AX21" s="4">
        <v>0</v>
      </c>
      <c r="AY21" s="4">
        <v>-25</v>
      </c>
      <c r="AZ21" s="4">
        <v>0</v>
      </c>
    </row>
    <row r="22" spans="1:52" x14ac:dyDescent="0.25">
      <c r="A22" s="4">
        <v>19</v>
      </c>
      <c r="B22" s="5">
        <v>43132</v>
      </c>
      <c r="C22" s="4" t="s">
        <v>22</v>
      </c>
      <c r="D22" s="4" t="s">
        <v>58</v>
      </c>
      <c r="E22" s="4" t="s">
        <v>58</v>
      </c>
      <c r="F22" s="4" t="s">
        <v>62</v>
      </c>
      <c r="G22" s="4" t="s">
        <v>58</v>
      </c>
      <c r="H22" s="4" t="s">
        <v>58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1</v>
      </c>
      <c r="P22" s="4">
        <v>975</v>
      </c>
      <c r="Q22" s="4">
        <v>1000</v>
      </c>
      <c r="R22" s="4">
        <v>1000</v>
      </c>
      <c r="S22" s="4">
        <v>-9.5</v>
      </c>
      <c r="T22" s="4">
        <v>1</v>
      </c>
      <c r="U22" s="4">
        <v>-1000</v>
      </c>
      <c r="V22" s="4">
        <v>0</v>
      </c>
      <c r="W22" s="4">
        <v>-1000</v>
      </c>
      <c r="X22" s="8" t="s">
        <v>58</v>
      </c>
      <c r="Y22" s="8">
        <v>9.4999999999999998E-3</v>
      </c>
      <c r="Z22" s="4">
        <v>0.01</v>
      </c>
      <c r="AA22" s="4" t="s">
        <v>74</v>
      </c>
      <c r="AB22" s="4" t="s">
        <v>73</v>
      </c>
      <c r="AC22" s="4" t="s">
        <v>7</v>
      </c>
      <c r="AD22" s="4">
        <v>1</v>
      </c>
      <c r="AE22" s="4">
        <v>0</v>
      </c>
      <c r="AF22" s="4">
        <v>0</v>
      </c>
      <c r="AG22" s="4">
        <v>-1000</v>
      </c>
      <c r="AH22" s="4">
        <v>0</v>
      </c>
      <c r="AI22" s="4">
        <v>0</v>
      </c>
      <c r="AJ22" s="4">
        <v>25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10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-0.5</v>
      </c>
      <c r="AW22" s="4">
        <v>0</v>
      </c>
      <c r="AX22" s="4">
        <v>0</v>
      </c>
      <c r="AY22" s="4">
        <v>975</v>
      </c>
      <c r="AZ22" s="4">
        <v>-9.5</v>
      </c>
    </row>
    <row r="23" spans="1:52" x14ac:dyDescent="0.25">
      <c r="A23" s="4">
        <v>20</v>
      </c>
      <c r="B23" s="5">
        <v>43160</v>
      </c>
      <c r="C23" s="4" t="s">
        <v>22</v>
      </c>
      <c r="D23" s="4" t="s">
        <v>58</v>
      </c>
      <c r="E23" s="4" t="s">
        <v>58</v>
      </c>
      <c r="F23" s="4" t="s">
        <v>62</v>
      </c>
      <c r="G23" s="4" t="s">
        <v>58</v>
      </c>
      <c r="H23" s="4" t="s">
        <v>58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1</v>
      </c>
      <c r="P23" s="4">
        <v>0</v>
      </c>
      <c r="Q23" s="4">
        <v>0</v>
      </c>
      <c r="R23" s="4">
        <v>1000</v>
      </c>
      <c r="S23" s="4">
        <v>0</v>
      </c>
      <c r="T23" s="4">
        <v>1</v>
      </c>
      <c r="U23" s="4">
        <v>-1000</v>
      </c>
      <c r="V23" s="4">
        <v>0</v>
      </c>
      <c r="W23" s="4">
        <v>-1000</v>
      </c>
      <c r="X23" s="8" t="s">
        <v>58</v>
      </c>
      <c r="Y23" s="8" t="s">
        <v>58</v>
      </c>
      <c r="Z23" s="4" t="s">
        <v>58</v>
      </c>
      <c r="AA23" s="4" t="s">
        <v>76</v>
      </c>
      <c r="AB23" s="4" t="s">
        <v>73</v>
      </c>
      <c r="AC23" s="4" t="s">
        <v>7</v>
      </c>
      <c r="AD23" s="4">
        <v>1</v>
      </c>
      <c r="AE23" s="4">
        <v>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 t="s">
        <v>58</v>
      </c>
      <c r="AO23" s="4" t="s">
        <v>58</v>
      </c>
      <c r="AP23" s="4" t="s">
        <v>58</v>
      </c>
      <c r="AQ23" s="4" t="s">
        <v>58</v>
      </c>
      <c r="AR23" s="4" t="s">
        <v>58</v>
      </c>
      <c r="AS23" s="4">
        <v>0</v>
      </c>
      <c r="AT23" s="4">
        <v>0</v>
      </c>
      <c r="AU23" s="4">
        <v>0</v>
      </c>
      <c r="AV23" s="4" t="s">
        <v>58</v>
      </c>
      <c r="AW23" s="4">
        <v>0</v>
      </c>
      <c r="AX23" s="4">
        <v>0</v>
      </c>
      <c r="AY23" s="4">
        <v>0</v>
      </c>
      <c r="AZ23" s="4">
        <v>0</v>
      </c>
    </row>
    <row r="24" spans="1:52" x14ac:dyDescent="0.25">
      <c r="A24" s="4">
        <v>21</v>
      </c>
      <c r="B24" s="5">
        <v>43070</v>
      </c>
      <c r="C24" s="4" t="s">
        <v>23</v>
      </c>
      <c r="D24" s="4" t="s">
        <v>58</v>
      </c>
      <c r="E24" s="4" t="s">
        <v>58</v>
      </c>
      <c r="F24" s="4" t="s">
        <v>58</v>
      </c>
      <c r="G24" s="4" t="s">
        <v>58</v>
      </c>
      <c r="H24" s="4" t="s">
        <v>58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1</v>
      </c>
      <c r="P24" s="4" t="s">
        <v>58</v>
      </c>
      <c r="Q24" s="4" t="s">
        <v>58</v>
      </c>
      <c r="R24" s="4">
        <v>0</v>
      </c>
      <c r="S24" s="4" t="s">
        <v>58</v>
      </c>
      <c r="T24" s="4" t="s">
        <v>58</v>
      </c>
      <c r="U24" s="4">
        <v>0</v>
      </c>
      <c r="V24" s="4">
        <v>0</v>
      </c>
      <c r="W24" s="4">
        <v>0</v>
      </c>
      <c r="X24" s="8" t="s">
        <v>58</v>
      </c>
      <c r="Y24" s="8" t="s">
        <v>58</v>
      </c>
      <c r="Z24" s="4" t="s">
        <v>58</v>
      </c>
      <c r="AA24" s="4" t="s">
        <v>76</v>
      </c>
      <c r="AB24" s="4" t="s">
        <v>73</v>
      </c>
      <c r="AC24" s="4" t="s">
        <v>7</v>
      </c>
      <c r="AD24" s="4">
        <v>1</v>
      </c>
      <c r="AE24" s="4" t="s">
        <v>58</v>
      </c>
      <c r="AF24" s="4">
        <v>0</v>
      </c>
      <c r="AG24" s="4">
        <v>0</v>
      </c>
      <c r="AH24" s="4">
        <v>0</v>
      </c>
      <c r="AI24" s="4" t="s">
        <v>58</v>
      </c>
      <c r="AJ24" s="4" t="s">
        <v>58</v>
      </c>
      <c r="AK24" s="4">
        <v>0</v>
      </c>
      <c r="AL24" s="4">
        <v>0</v>
      </c>
      <c r="AM24" s="4">
        <v>0</v>
      </c>
      <c r="AN24" s="4" t="s">
        <v>58</v>
      </c>
      <c r="AO24" s="4" t="s">
        <v>58</v>
      </c>
      <c r="AP24" s="4" t="s">
        <v>58</v>
      </c>
      <c r="AQ24" s="4" t="s">
        <v>58</v>
      </c>
      <c r="AR24" s="4" t="s">
        <v>58</v>
      </c>
      <c r="AS24" s="4">
        <v>0</v>
      </c>
      <c r="AT24" s="4">
        <v>0</v>
      </c>
      <c r="AU24" s="4">
        <v>0</v>
      </c>
      <c r="AV24" s="4" t="s">
        <v>58</v>
      </c>
      <c r="AW24" s="4">
        <v>0</v>
      </c>
      <c r="AX24" s="4">
        <v>0</v>
      </c>
      <c r="AY24" s="4" t="s">
        <v>58</v>
      </c>
      <c r="AZ24" s="4" t="s">
        <v>58</v>
      </c>
    </row>
    <row r="25" spans="1:52" x14ac:dyDescent="0.25">
      <c r="A25" s="4">
        <v>22</v>
      </c>
      <c r="B25" s="5">
        <v>43101</v>
      </c>
      <c r="C25" s="4" t="s">
        <v>23</v>
      </c>
      <c r="D25" s="4">
        <v>2018</v>
      </c>
      <c r="E25" s="4">
        <v>1</v>
      </c>
      <c r="F25" s="4" t="s">
        <v>56</v>
      </c>
      <c r="G25" s="4" t="s">
        <v>58</v>
      </c>
      <c r="H25" s="4" t="s">
        <v>58</v>
      </c>
      <c r="I25" s="4">
        <v>100</v>
      </c>
      <c r="J25" s="4">
        <v>110</v>
      </c>
      <c r="K25" s="4">
        <v>-2</v>
      </c>
      <c r="L25" s="4">
        <v>0</v>
      </c>
      <c r="M25" s="4">
        <v>0</v>
      </c>
      <c r="N25" s="4">
        <v>0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1</v>
      </c>
      <c r="U25" s="4">
        <v>110</v>
      </c>
      <c r="V25" s="4">
        <v>110</v>
      </c>
      <c r="W25" s="4">
        <v>0</v>
      </c>
      <c r="X25" s="8">
        <v>1.8181818181818198E-2</v>
      </c>
      <c r="Y25" s="8" t="s">
        <v>58</v>
      </c>
      <c r="Z25" s="4">
        <v>0.02</v>
      </c>
      <c r="AA25" s="4" t="s">
        <v>75</v>
      </c>
      <c r="AB25" s="4" t="s">
        <v>73</v>
      </c>
      <c r="AC25" s="4" t="s">
        <v>7</v>
      </c>
      <c r="AD25" s="4">
        <v>1</v>
      </c>
      <c r="AE25" s="4">
        <v>110</v>
      </c>
      <c r="AF25" s="4">
        <v>0</v>
      </c>
      <c r="AG25" s="4">
        <v>0</v>
      </c>
      <c r="AH25" s="4">
        <v>0</v>
      </c>
      <c r="AI25" s="4">
        <v>0</v>
      </c>
      <c r="AJ25" s="4">
        <v>-10</v>
      </c>
      <c r="AK25" s="4">
        <v>0</v>
      </c>
      <c r="AL25" s="4">
        <v>0</v>
      </c>
      <c r="AM25" s="4">
        <v>0</v>
      </c>
      <c r="AN25" s="4">
        <v>-2.2000000000000002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0.2</v>
      </c>
      <c r="AW25" s="4">
        <v>0</v>
      </c>
      <c r="AX25" s="4">
        <v>0</v>
      </c>
      <c r="AY25" s="4">
        <v>-100</v>
      </c>
      <c r="AZ25" s="4">
        <v>2</v>
      </c>
    </row>
    <row r="26" spans="1:52" x14ac:dyDescent="0.25">
      <c r="A26" s="4">
        <v>23</v>
      </c>
      <c r="B26" s="5">
        <v>43132</v>
      </c>
      <c r="C26" s="4" t="s">
        <v>23</v>
      </c>
      <c r="D26" s="4">
        <v>2018</v>
      </c>
      <c r="E26" s="4">
        <v>2</v>
      </c>
      <c r="F26" s="4" t="s">
        <v>56</v>
      </c>
      <c r="G26" s="4">
        <v>2</v>
      </c>
      <c r="H26" s="4" t="s">
        <v>57</v>
      </c>
      <c r="I26" s="4">
        <v>-1500</v>
      </c>
      <c r="J26" s="4">
        <v>-1500</v>
      </c>
      <c r="K26" s="4">
        <v>0.02</v>
      </c>
      <c r="L26" s="4">
        <v>0</v>
      </c>
      <c r="M26" s="4">
        <v>0</v>
      </c>
      <c r="N26" s="4">
        <v>0</v>
      </c>
      <c r="O26" s="4">
        <v>2</v>
      </c>
      <c r="P26" s="4">
        <v>100</v>
      </c>
      <c r="Q26" s="4">
        <v>110</v>
      </c>
      <c r="R26" s="4">
        <v>0</v>
      </c>
      <c r="S26" s="4">
        <v>-2</v>
      </c>
      <c r="T26" s="4">
        <v>1</v>
      </c>
      <c r="U26" s="4">
        <v>-1500</v>
      </c>
      <c r="V26" s="4">
        <v>0</v>
      </c>
      <c r="W26" s="4">
        <v>-1500</v>
      </c>
      <c r="X26" s="8">
        <v>1.3333333333333299E-5</v>
      </c>
      <c r="Y26" s="8">
        <v>1.8181818181818198E-2</v>
      </c>
      <c r="Z26" s="4">
        <v>0.02</v>
      </c>
      <c r="AA26" s="4" t="s">
        <v>74</v>
      </c>
      <c r="AB26" s="4" t="s">
        <v>77</v>
      </c>
      <c r="AC26" s="4" t="s">
        <v>7</v>
      </c>
      <c r="AD26" s="4">
        <v>2</v>
      </c>
      <c r="AE26" s="4">
        <v>-110</v>
      </c>
      <c r="AF26" s="4">
        <v>0</v>
      </c>
      <c r="AG26" s="4">
        <v>0</v>
      </c>
      <c r="AH26" s="4">
        <v>0</v>
      </c>
      <c r="AI26" s="4">
        <v>-1500</v>
      </c>
      <c r="AJ26" s="4">
        <v>10</v>
      </c>
      <c r="AK26" s="4">
        <v>0</v>
      </c>
      <c r="AL26" s="4">
        <v>-100</v>
      </c>
      <c r="AM26" s="4">
        <v>100</v>
      </c>
      <c r="AN26" s="4">
        <v>2.2000000000000002</v>
      </c>
      <c r="AO26" s="4">
        <v>0</v>
      </c>
      <c r="AP26" s="4">
        <v>0</v>
      </c>
      <c r="AQ26" s="4">
        <v>0</v>
      </c>
      <c r="AR26" s="4">
        <v>30</v>
      </c>
      <c r="AS26" s="4">
        <v>0</v>
      </c>
      <c r="AT26" s="4">
        <v>0</v>
      </c>
      <c r="AU26" s="4">
        <v>-30.18</v>
      </c>
      <c r="AV26" s="4">
        <v>0</v>
      </c>
      <c r="AW26" s="4">
        <v>2</v>
      </c>
      <c r="AX26" s="4">
        <v>-2</v>
      </c>
      <c r="AY26" s="4">
        <v>1600</v>
      </c>
      <c r="AZ26" s="4">
        <v>-2.02</v>
      </c>
    </row>
    <row r="27" spans="1:52" x14ac:dyDescent="0.25">
      <c r="A27" s="4">
        <v>24</v>
      </c>
      <c r="B27" s="5">
        <v>43160</v>
      </c>
      <c r="C27" s="4" t="s">
        <v>23</v>
      </c>
      <c r="D27" s="4">
        <v>2018</v>
      </c>
      <c r="E27" s="4">
        <v>3</v>
      </c>
      <c r="F27" s="4" t="s">
        <v>56</v>
      </c>
      <c r="G27" s="4">
        <v>2</v>
      </c>
      <c r="H27" s="4" t="s">
        <v>57</v>
      </c>
      <c r="I27" s="4">
        <v>100</v>
      </c>
      <c r="J27" s="4">
        <v>110</v>
      </c>
      <c r="K27" s="4">
        <v>-2</v>
      </c>
      <c r="L27" s="4">
        <v>0</v>
      </c>
      <c r="M27" s="4">
        <v>1</v>
      </c>
      <c r="N27" s="4">
        <v>3</v>
      </c>
      <c r="O27" s="4">
        <v>2</v>
      </c>
      <c r="P27" s="4">
        <v>-1500</v>
      </c>
      <c r="Q27" s="4">
        <v>-1500</v>
      </c>
      <c r="R27" s="4">
        <v>0</v>
      </c>
      <c r="S27" s="4">
        <v>0.02</v>
      </c>
      <c r="T27" s="4">
        <v>2</v>
      </c>
      <c r="U27" s="4">
        <v>110</v>
      </c>
      <c r="V27" s="4">
        <v>110</v>
      </c>
      <c r="W27" s="4">
        <v>0</v>
      </c>
      <c r="X27" s="8">
        <v>1.8181818181818198E-2</v>
      </c>
      <c r="Y27" s="8">
        <v>1.3333333333333299E-5</v>
      </c>
      <c r="Z27" s="4">
        <v>0</v>
      </c>
      <c r="AA27" s="4" t="s">
        <v>75</v>
      </c>
      <c r="AB27" s="4" t="s">
        <v>73</v>
      </c>
      <c r="AC27" s="4" t="s">
        <v>7</v>
      </c>
      <c r="AD27" s="4">
        <v>2</v>
      </c>
      <c r="AE27" s="4">
        <v>110</v>
      </c>
      <c r="AF27" s="4">
        <v>0</v>
      </c>
      <c r="AG27" s="4">
        <v>0</v>
      </c>
      <c r="AH27" s="4">
        <v>0</v>
      </c>
      <c r="AI27" s="4">
        <v>1500</v>
      </c>
      <c r="AJ27" s="4">
        <v>-10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1</v>
      </c>
      <c r="AU27" s="4">
        <v>0</v>
      </c>
      <c r="AV27" s="4">
        <v>-3.02</v>
      </c>
      <c r="AW27" s="4">
        <v>0</v>
      </c>
      <c r="AX27" s="4">
        <v>0</v>
      </c>
      <c r="AY27" s="4">
        <v>-1600</v>
      </c>
      <c r="AZ27" s="4">
        <v>2.02</v>
      </c>
    </row>
    <row r="28" spans="1:52" x14ac:dyDescent="0.25">
      <c r="A28" s="4">
        <v>25</v>
      </c>
      <c r="B28" s="5">
        <v>43070</v>
      </c>
      <c r="C28" s="4" t="s">
        <v>26</v>
      </c>
      <c r="D28" s="4">
        <v>2017</v>
      </c>
      <c r="E28" s="4">
        <v>12</v>
      </c>
      <c r="F28" s="4" t="s">
        <v>62</v>
      </c>
      <c r="G28" s="4">
        <v>1</v>
      </c>
      <c r="H28" s="4" t="s">
        <v>57</v>
      </c>
      <c r="I28" s="4">
        <v>900</v>
      </c>
      <c r="J28" s="4">
        <v>950</v>
      </c>
      <c r="K28" s="4">
        <v>-9.5</v>
      </c>
      <c r="L28" s="4">
        <v>0</v>
      </c>
      <c r="M28" s="4">
        <v>0</v>
      </c>
      <c r="N28" s="4">
        <v>0</v>
      </c>
      <c r="O28" s="4">
        <v>1</v>
      </c>
      <c r="P28" s="4" t="s">
        <v>58</v>
      </c>
      <c r="Q28" s="4" t="s">
        <v>58</v>
      </c>
      <c r="R28" s="4">
        <v>950</v>
      </c>
      <c r="S28" s="4" t="s">
        <v>58</v>
      </c>
      <c r="T28" s="4" t="s">
        <v>58</v>
      </c>
      <c r="U28" s="4">
        <v>0</v>
      </c>
      <c r="V28" s="4">
        <v>0</v>
      </c>
      <c r="W28" s="4">
        <v>0</v>
      </c>
      <c r="X28" s="8">
        <v>0.01</v>
      </c>
      <c r="Y28" s="8" t="s">
        <v>58</v>
      </c>
      <c r="Z28" s="4" t="s">
        <v>58</v>
      </c>
      <c r="AA28" s="4" t="s">
        <v>76</v>
      </c>
      <c r="AB28" s="4" t="s">
        <v>73</v>
      </c>
      <c r="AC28" s="4" t="s">
        <v>7</v>
      </c>
      <c r="AD28" s="4">
        <v>1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 t="s">
        <v>58</v>
      </c>
      <c r="AK28" s="4">
        <v>0</v>
      </c>
      <c r="AL28" s="4">
        <v>0</v>
      </c>
      <c r="AM28" s="4">
        <v>0</v>
      </c>
      <c r="AN28" s="4" t="s">
        <v>58</v>
      </c>
      <c r="AO28" s="4" t="s">
        <v>58</v>
      </c>
      <c r="AP28" s="4" t="s">
        <v>58</v>
      </c>
      <c r="AQ28" s="4" t="s">
        <v>58</v>
      </c>
      <c r="AR28" s="4" t="s">
        <v>58</v>
      </c>
      <c r="AS28" s="4">
        <v>0</v>
      </c>
      <c r="AT28" s="4">
        <v>0</v>
      </c>
      <c r="AU28" s="4">
        <v>0</v>
      </c>
      <c r="AV28" s="4" t="s">
        <v>58</v>
      </c>
      <c r="AW28" s="4">
        <v>0</v>
      </c>
      <c r="AX28" s="4">
        <v>0</v>
      </c>
      <c r="AY28" s="4" t="s">
        <v>58</v>
      </c>
      <c r="AZ28" s="4" t="s">
        <v>58</v>
      </c>
    </row>
    <row r="29" spans="1:52" x14ac:dyDescent="0.25">
      <c r="A29" s="4">
        <v>26</v>
      </c>
      <c r="B29" s="5">
        <v>43101</v>
      </c>
      <c r="C29" s="4" t="s">
        <v>26</v>
      </c>
      <c r="D29" s="4">
        <v>2018</v>
      </c>
      <c r="E29" s="4">
        <v>1</v>
      </c>
      <c r="F29" s="4" t="s">
        <v>62</v>
      </c>
      <c r="G29" s="4">
        <v>1</v>
      </c>
      <c r="H29" s="4" t="s">
        <v>57</v>
      </c>
      <c r="I29" s="4">
        <v>890</v>
      </c>
      <c r="J29" s="4">
        <v>940</v>
      </c>
      <c r="K29" s="4">
        <v>-9</v>
      </c>
      <c r="L29" s="4">
        <v>0</v>
      </c>
      <c r="M29" s="4">
        <v>0</v>
      </c>
      <c r="N29" s="4">
        <v>0</v>
      </c>
      <c r="O29" s="4">
        <v>1</v>
      </c>
      <c r="P29" s="4">
        <v>900</v>
      </c>
      <c r="Q29" s="4">
        <v>950</v>
      </c>
      <c r="R29" s="4">
        <v>950</v>
      </c>
      <c r="S29" s="4">
        <v>-9.5</v>
      </c>
      <c r="T29" s="4">
        <v>1</v>
      </c>
      <c r="U29" s="4">
        <v>-10</v>
      </c>
      <c r="V29" s="4">
        <v>0</v>
      </c>
      <c r="W29" s="4">
        <v>-10</v>
      </c>
      <c r="X29" s="8">
        <v>9.5744680851063795E-3</v>
      </c>
      <c r="Y29" s="8">
        <v>0.01</v>
      </c>
      <c r="Z29" s="4">
        <v>0.01</v>
      </c>
      <c r="AA29" s="4" t="s">
        <v>74</v>
      </c>
      <c r="AB29" s="4" t="s">
        <v>73</v>
      </c>
      <c r="AC29" s="4" t="s">
        <v>7</v>
      </c>
      <c r="AD29" s="4">
        <v>1</v>
      </c>
      <c r="AE29" s="4">
        <v>0</v>
      </c>
      <c r="AF29" s="4">
        <v>0</v>
      </c>
      <c r="AG29" s="4">
        <v>0</v>
      </c>
      <c r="AH29" s="4">
        <v>-10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0.1</v>
      </c>
      <c r="AR29" s="4">
        <v>0</v>
      </c>
      <c r="AS29" s="4">
        <v>0</v>
      </c>
      <c r="AT29" s="4">
        <v>0</v>
      </c>
      <c r="AU29" s="4">
        <v>0</v>
      </c>
      <c r="AV29" s="4">
        <v>0.4</v>
      </c>
      <c r="AW29" s="4">
        <v>0</v>
      </c>
      <c r="AX29" s="4">
        <v>0</v>
      </c>
      <c r="AY29" s="4">
        <v>10</v>
      </c>
      <c r="AZ29" s="4">
        <v>-0.5</v>
      </c>
    </row>
    <row r="30" spans="1:52" x14ac:dyDescent="0.25">
      <c r="A30" s="4">
        <v>27</v>
      </c>
      <c r="B30" s="5">
        <v>43132</v>
      </c>
      <c r="C30" s="4" t="s">
        <v>26</v>
      </c>
      <c r="D30" s="4">
        <v>2018</v>
      </c>
      <c r="E30" s="4">
        <v>2</v>
      </c>
      <c r="F30" s="4" t="s">
        <v>62</v>
      </c>
      <c r="G30" s="4">
        <v>1</v>
      </c>
      <c r="H30" s="4" t="s">
        <v>57</v>
      </c>
      <c r="I30" s="4">
        <v>880</v>
      </c>
      <c r="J30" s="4">
        <v>930</v>
      </c>
      <c r="K30" s="4">
        <v>-8.5</v>
      </c>
      <c r="L30" s="4">
        <v>0</v>
      </c>
      <c r="M30" s="4">
        <v>0</v>
      </c>
      <c r="N30" s="4">
        <v>0</v>
      </c>
      <c r="O30" s="4">
        <v>1</v>
      </c>
      <c r="P30" s="4">
        <v>890</v>
      </c>
      <c r="Q30" s="4">
        <v>940</v>
      </c>
      <c r="R30" s="4">
        <v>950</v>
      </c>
      <c r="S30" s="4">
        <v>-9</v>
      </c>
      <c r="T30" s="4">
        <v>1</v>
      </c>
      <c r="U30" s="4">
        <v>-20</v>
      </c>
      <c r="V30" s="4">
        <v>0</v>
      </c>
      <c r="W30" s="4">
        <v>-20</v>
      </c>
      <c r="X30" s="8">
        <v>9.1397849462365593E-3</v>
      </c>
      <c r="Y30" s="8">
        <v>9.5744680851063795E-3</v>
      </c>
      <c r="Z30" s="4">
        <v>0.01</v>
      </c>
      <c r="AA30" s="4" t="s">
        <v>74</v>
      </c>
      <c r="AB30" s="4" t="s">
        <v>73</v>
      </c>
      <c r="AC30" s="4" t="s">
        <v>7</v>
      </c>
      <c r="AD30" s="4">
        <v>1</v>
      </c>
      <c r="AE30" s="4">
        <v>0</v>
      </c>
      <c r="AF30" s="4">
        <v>0</v>
      </c>
      <c r="AG30" s="4">
        <v>0</v>
      </c>
      <c r="AH30" s="4">
        <v>-10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0.1</v>
      </c>
      <c r="AR30" s="4">
        <v>0</v>
      </c>
      <c r="AS30" s="4">
        <v>0</v>
      </c>
      <c r="AT30" s="4">
        <v>0</v>
      </c>
      <c r="AU30" s="4">
        <v>0</v>
      </c>
      <c r="AV30" s="4">
        <v>0.4</v>
      </c>
      <c r="AW30" s="4">
        <v>0</v>
      </c>
      <c r="AX30" s="4">
        <v>0</v>
      </c>
      <c r="AY30" s="4">
        <v>10</v>
      </c>
      <c r="AZ30" s="4">
        <v>-0.5</v>
      </c>
    </row>
    <row r="31" spans="1:52" x14ac:dyDescent="0.25">
      <c r="A31" s="4">
        <v>28</v>
      </c>
      <c r="B31" s="5">
        <v>43160</v>
      </c>
      <c r="C31" s="4" t="s">
        <v>26</v>
      </c>
      <c r="D31" s="4">
        <v>2018</v>
      </c>
      <c r="E31" s="4">
        <v>3</v>
      </c>
      <c r="F31" s="4" t="s">
        <v>62</v>
      </c>
      <c r="G31" s="4">
        <v>1</v>
      </c>
      <c r="H31" s="4" t="s">
        <v>57</v>
      </c>
      <c r="I31" s="4">
        <v>880</v>
      </c>
      <c r="J31" s="4">
        <v>930</v>
      </c>
      <c r="K31" s="4">
        <v>-8</v>
      </c>
      <c r="L31" s="4">
        <v>0</v>
      </c>
      <c r="M31" s="4">
        <v>4</v>
      </c>
      <c r="N31" s="4">
        <v>9</v>
      </c>
      <c r="O31" s="4">
        <v>1</v>
      </c>
      <c r="P31" s="4">
        <v>880</v>
      </c>
      <c r="Q31" s="4">
        <v>930</v>
      </c>
      <c r="R31" s="4">
        <v>950</v>
      </c>
      <c r="S31" s="4">
        <v>-8.5</v>
      </c>
      <c r="T31" s="4">
        <v>1</v>
      </c>
      <c r="U31" s="4">
        <v>-20</v>
      </c>
      <c r="V31" s="4">
        <v>0</v>
      </c>
      <c r="W31" s="4">
        <v>-20</v>
      </c>
      <c r="X31" s="8">
        <v>8.6021505376344103E-3</v>
      </c>
      <c r="Y31" s="8">
        <v>9.1397849462365593E-3</v>
      </c>
      <c r="Z31" s="4">
        <v>0.01</v>
      </c>
      <c r="AA31" s="4" t="s">
        <v>76</v>
      </c>
      <c r="AB31" s="4" t="s">
        <v>73</v>
      </c>
      <c r="AC31" s="4" t="s">
        <v>7</v>
      </c>
      <c r="AD31" s="4">
        <v>1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-4</v>
      </c>
      <c r="AU31" s="4">
        <v>0</v>
      </c>
      <c r="AV31" s="4">
        <v>4.5</v>
      </c>
      <c r="AW31" s="4">
        <v>0</v>
      </c>
      <c r="AX31" s="4">
        <v>0</v>
      </c>
      <c r="AY31" s="4">
        <v>0</v>
      </c>
      <c r="AZ31" s="4">
        <v>-0.5</v>
      </c>
    </row>
    <row r="32" spans="1:52" x14ac:dyDescent="0.25">
      <c r="A32" s="4">
        <v>29</v>
      </c>
      <c r="B32" s="5">
        <v>43070</v>
      </c>
      <c r="C32" s="4" t="s">
        <v>27</v>
      </c>
      <c r="D32" s="4">
        <v>2017</v>
      </c>
      <c r="E32" s="4">
        <v>12</v>
      </c>
      <c r="F32" s="4" t="s">
        <v>56</v>
      </c>
      <c r="G32" s="4">
        <v>3</v>
      </c>
      <c r="H32" s="4" t="s">
        <v>70</v>
      </c>
      <c r="I32" s="4">
        <v>980</v>
      </c>
      <c r="J32" s="4">
        <v>1000</v>
      </c>
      <c r="K32" s="4">
        <v>-225</v>
      </c>
      <c r="L32" s="4">
        <v>0</v>
      </c>
      <c r="M32" s="4">
        <v>0</v>
      </c>
      <c r="N32" s="4">
        <v>0</v>
      </c>
      <c r="O32" s="4">
        <v>5</v>
      </c>
      <c r="P32" s="4" t="s">
        <v>58</v>
      </c>
      <c r="Q32" s="4" t="s">
        <v>58</v>
      </c>
      <c r="R32" s="4">
        <v>1000</v>
      </c>
      <c r="S32" s="4" t="s">
        <v>58</v>
      </c>
      <c r="T32" s="4" t="s">
        <v>58</v>
      </c>
      <c r="U32" s="4">
        <v>0</v>
      </c>
      <c r="V32" s="4">
        <v>0</v>
      </c>
      <c r="W32" s="4">
        <v>0</v>
      </c>
      <c r="X32" s="8">
        <v>0.22500000000000001</v>
      </c>
      <c r="Y32" s="8" t="s">
        <v>58</v>
      </c>
      <c r="Z32" s="4" t="s">
        <v>58</v>
      </c>
      <c r="AA32" s="4" t="s">
        <v>76</v>
      </c>
      <c r="AB32" s="4" t="s">
        <v>73</v>
      </c>
      <c r="AC32" s="4" t="s">
        <v>7</v>
      </c>
      <c r="AD32" s="4">
        <v>5</v>
      </c>
      <c r="AE32" s="4" t="s">
        <v>58</v>
      </c>
      <c r="AF32" s="4">
        <v>0</v>
      </c>
      <c r="AG32" s="4">
        <v>0</v>
      </c>
      <c r="AH32" s="4">
        <v>0</v>
      </c>
      <c r="AI32" s="4" t="s">
        <v>58</v>
      </c>
      <c r="AJ32" s="4" t="s">
        <v>58</v>
      </c>
      <c r="AK32" s="4">
        <v>0</v>
      </c>
      <c r="AL32" s="4">
        <v>0</v>
      </c>
      <c r="AM32" s="4">
        <v>0</v>
      </c>
      <c r="AN32" s="4" t="s">
        <v>58</v>
      </c>
      <c r="AO32" s="4" t="s">
        <v>58</v>
      </c>
      <c r="AP32" s="4" t="s">
        <v>58</v>
      </c>
      <c r="AQ32" s="4" t="s">
        <v>58</v>
      </c>
      <c r="AR32" s="4" t="s">
        <v>58</v>
      </c>
      <c r="AS32" s="4">
        <v>0</v>
      </c>
      <c r="AT32" s="4">
        <v>0</v>
      </c>
      <c r="AU32" s="4">
        <v>0</v>
      </c>
      <c r="AV32" s="4" t="s">
        <v>58</v>
      </c>
      <c r="AW32" s="4">
        <v>0</v>
      </c>
      <c r="AX32" s="4">
        <v>0</v>
      </c>
      <c r="AY32" s="4" t="s">
        <v>58</v>
      </c>
      <c r="AZ32" s="4" t="s">
        <v>58</v>
      </c>
    </row>
    <row r="33" spans="1:52" x14ac:dyDescent="0.25">
      <c r="A33" s="4">
        <v>30</v>
      </c>
      <c r="B33" s="5">
        <v>43101</v>
      </c>
      <c r="C33" s="4" t="s">
        <v>27</v>
      </c>
      <c r="D33" s="4">
        <v>2018</v>
      </c>
      <c r="E33" s="4">
        <v>1</v>
      </c>
      <c r="F33" s="4" t="s">
        <v>56</v>
      </c>
      <c r="G33" s="4">
        <v>3</v>
      </c>
      <c r="H33" s="4" t="s">
        <v>70</v>
      </c>
      <c r="I33" s="4">
        <v>985</v>
      </c>
      <c r="J33" s="4">
        <v>1000</v>
      </c>
      <c r="K33" s="4">
        <v>-225</v>
      </c>
      <c r="L33" s="4">
        <v>0</v>
      </c>
      <c r="M33" s="4">
        <v>0</v>
      </c>
      <c r="N33" s="4">
        <v>0</v>
      </c>
      <c r="O33" s="4">
        <v>5</v>
      </c>
      <c r="P33" s="4">
        <v>980</v>
      </c>
      <c r="Q33" s="4">
        <v>1000</v>
      </c>
      <c r="R33" s="4">
        <v>1000</v>
      </c>
      <c r="S33" s="4">
        <v>-225</v>
      </c>
      <c r="T33" s="4">
        <v>5</v>
      </c>
      <c r="U33" s="4">
        <v>0</v>
      </c>
      <c r="V33" s="4">
        <v>0</v>
      </c>
      <c r="W33" s="4">
        <v>0</v>
      </c>
      <c r="X33" s="8">
        <v>0.22500000000000001</v>
      </c>
      <c r="Y33" s="8">
        <v>0.22500000000000001</v>
      </c>
      <c r="Z33" s="4">
        <v>0.22</v>
      </c>
      <c r="AA33" s="4" t="s">
        <v>76</v>
      </c>
      <c r="AB33" s="4" t="s">
        <v>73</v>
      </c>
      <c r="AC33" s="4" t="s">
        <v>7</v>
      </c>
      <c r="AD33" s="4">
        <v>5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5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-5</v>
      </c>
      <c r="AZ33" s="4">
        <v>0</v>
      </c>
    </row>
    <row r="34" spans="1:52" x14ac:dyDescent="0.25">
      <c r="A34" s="4">
        <v>31</v>
      </c>
      <c r="B34" s="5">
        <v>43132</v>
      </c>
      <c r="C34" s="4" t="s">
        <v>27</v>
      </c>
      <c r="D34" s="4">
        <v>2018</v>
      </c>
      <c r="E34" s="4">
        <v>2</v>
      </c>
      <c r="F34" s="4" t="s">
        <v>56</v>
      </c>
      <c r="G34" s="4">
        <v>2</v>
      </c>
      <c r="H34" s="4" t="s">
        <v>57</v>
      </c>
      <c r="I34" s="4">
        <v>490</v>
      </c>
      <c r="J34" s="4">
        <v>500</v>
      </c>
      <c r="K34" s="4">
        <v>-55</v>
      </c>
      <c r="L34" s="4">
        <v>0</v>
      </c>
      <c r="M34" s="4">
        <v>0</v>
      </c>
      <c r="N34" s="4">
        <v>0</v>
      </c>
      <c r="O34" s="4">
        <v>2</v>
      </c>
      <c r="P34" s="4">
        <v>985</v>
      </c>
      <c r="Q34" s="4">
        <v>1000</v>
      </c>
      <c r="R34" s="4">
        <v>1000</v>
      </c>
      <c r="S34" s="4">
        <v>-225</v>
      </c>
      <c r="T34" s="4">
        <v>5</v>
      </c>
      <c r="U34" s="4">
        <v>-500</v>
      </c>
      <c r="V34" s="4">
        <v>0</v>
      </c>
      <c r="W34" s="4">
        <v>-500</v>
      </c>
      <c r="X34" s="8">
        <v>0.11</v>
      </c>
      <c r="Y34" s="8">
        <v>0.22500000000000001</v>
      </c>
      <c r="Z34" s="4">
        <v>0.22</v>
      </c>
      <c r="AA34" s="4" t="s">
        <v>74</v>
      </c>
      <c r="AB34" s="4" t="s">
        <v>78</v>
      </c>
      <c r="AC34" s="4" t="s">
        <v>28</v>
      </c>
      <c r="AD34" s="4">
        <v>5</v>
      </c>
      <c r="AE34" s="4">
        <v>0</v>
      </c>
      <c r="AF34" s="4">
        <v>0</v>
      </c>
      <c r="AG34" s="4">
        <v>0</v>
      </c>
      <c r="AH34" s="4">
        <v>0</v>
      </c>
      <c r="AI34" s="4">
        <v>-500</v>
      </c>
      <c r="AJ34" s="4">
        <v>5</v>
      </c>
      <c r="AK34" s="4">
        <v>0</v>
      </c>
      <c r="AL34" s="4">
        <v>-485</v>
      </c>
      <c r="AM34" s="4">
        <v>485</v>
      </c>
      <c r="AN34" s="4">
        <v>0</v>
      </c>
      <c r="AO34" s="4">
        <v>0</v>
      </c>
      <c r="AP34" s="4">
        <v>0</v>
      </c>
      <c r="AQ34" s="4">
        <v>0</v>
      </c>
      <c r="AR34" s="4">
        <v>110</v>
      </c>
      <c r="AS34" s="4">
        <v>0</v>
      </c>
      <c r="AT34" s="4">
        <v>0</v>
      </c>
      <c r="AU34" s="4">
        <v>60</v>
      </c>
      <c r="AV34" s="4">
        <v>0</v>
      </c>
      <c r="AW34" s="4">
        <v>115</v>
      </c>
      <c r="AX34" s="4">
        <v>-115</v>
      </c>
      <c r="AY34" s="4">
        <v>495</v>
      </c>
      <c r="AZ34" s="4">
        <v>-170</v>
      </c>
    </row>
    <row r="35" spans="1:52" x14ac:dyDescent="0.25">
      <c r="A35" s="4">
        <v>32</v>
      </c>
      <c r="B35" s="5">
        <v>43160</v>
      </c>
      <c r="C35" s="4" t="s">
        <v>27</v>
      </c>
      <c r="D35" s="4">
        <v>2018</v>
      </c>
      <c r="E35" s="4">
        <v>3</v>
      </c>
      <c r="F35" s="4" t="s">
        <v>56</v>
      </c>
      <c r="G35" s="4">
        <v>2</v>
      </c>
      <c r="H35" s="4" t="s">
        <v>57</v>
      </c>
      <c r="I35" s="4">
        <v>495</v>
      </c>
      <c r="J35" s="4">
        <v>500</v>
      </c>
      <c r="K35" s="4">
        <v>-55</v>
      </c>
      <c r="L35" s="4">
        <v>0</v>
      </c>
      <c r="M35" s="4">
        <v>20</v>
      </c>
      <c r="N35" s="4">
        <v>80</v>
      </c>
      <c r="O35" s="4">
        <v>2</v>
      </c>
      <c r="P35" s="4">
        <v>490</v>
      </c>
      <c r="Q35" s="4">
        <v>500</v>
      </c>
      <c r="R35" s="4">
        <v>1000</v>
      </c>
      <c r="S35" s="4">
        <v>-55</v>
      </c>
      <c r="T35" s="4">
        <v>2</v>
      </c>
      <c r="U35" s="4">
        <v>-500</v>
      </c>
      <c r="V35" s="4">
        <v>0</v>
      </c>
      <c r="W35" s="4">
        <v>-500</v>
      </c>
      <c r="X35" s="8">
        <v>0.11</v>
      </c>
      <c r="Y35" s="8">
        <v>0.11</v>
      </c>
      <c r="Z35" s="4">
        <v>0.11</v>
      </c>
      <c r="AA35" s="4" t="s">
        <v>76</v>
      </c>
      <c r="AB35" s="4" t="s">
        <v>73</v>
      </c>
      <c r="AC35" s="4" t="s">
        <v>7</v>
      </c>
      <c r="AD35" s="4">
        <v>2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5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25</v>
      </c>
      <c r="AU35" s="4">
        <v>0</v>
      </c>
      <c r="AV35" s="4">
        <v>-25</v>
      </c>
      <c r="AW35" s="4">
        <v>0</v>
      </c>
      <c r="AX35" s="4">
        <v>0</v>
      </c>
      <c r="AY35" s="4">
        <v>-5</v>
      </c>
      <c r="AZ35" s="4">
        <v>0</v>
      </c>
    </row>
    <row r="36" spans="1:52" x14ac:dyDescent="0.25">
      <c r="A36" s="4">
        <v>33</v>
      </c>
      <c r="B36" s="5">
        <v>43070</v>
      </c>
      <c r="C36" s="4" t="s">
        <v>29</v>
      </c>
      <c r="D36" s="4">
        <v>2017</v>
      </c>
      <c r="E36" s="4">
        <v>12</v>
      </c>
      <c r="F36" s="4" t="s">
        <v>62</v>
      </c>
      <c r="G36" s="4">
        <v>3</v>
      </c>
      <c r="H36" s="4" t="s">
        <v>70</v>
      </c>
      <c r="I36" s="4">
        <v>980</v>
      </c>
      <c r="J36" s="4">
        <v>1000</v>
      </c>
      <c r="K36" s="4">
        <v>-225</v>
      </c>
      <c r="L36" s="4">
        <v>0</v>
      </c>
      <c r="M36" s="4">
        <v>0</v>
      </c>
      <c r="N36" s="4">
        <v>0</v>
      </c>
      <c r="O36" s="4">
        <v>5</v>
      </c>
      <c r="P36" s="4" t="s">
        <v>58</v>
      </c>
      <c r="Q36" s="4" t="s">
        <v>58</v>
      </c>
      <c r="R36" s="4">
        <v>1000</v>
      </c>
      <c r="S36" s="4" t="s">
        <v>58</v>
      </c>
      <c r="T36" s="4" t="s">
        <v>58</v>
      </c>
      <c r="U36" s="4">
        <v>0</v>
      </c>
      <c r="V36" s="4">
        <v>0</v>
      </c>
      <c r="W36" s="4">
        <v>0</v>
      </c>
      <c r="X36" s="8">
        <v>0.22500000000000001</v>
      </c>
      <c r="Y36" s="8" t="s">
        <v>58</v>
      </c>
      <c r="Z36" s="4" t="s">
        <v>58</v>
      </c>
      <c r="AA36" s="4" t="s">
        <v>76</v>
      </c>
      <c r="AB36" s="4" t="s">
        <v>73</v>
      </c>
      <c r="AC36" s="4" t="s">
        <v>7</v>
      </c>
      <c r="AD36" s="4">
        <v>5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 t="s">
        <v>58</v>
      </c>
      <c r="AK36" s="4">
        <v>0</v>
      </c>
      <c r="AL36" s="4">
        <v>0</v>
      </c>
      <c r="AM36" s="4">
        <v>0</v>
      </c>
      <c r="AN36" s="4" t="s">
        <v>58</v>
      </c>
      <c r="AO36" s="4" t="s">
        <v>58</v>
      </c>
      <c r="AP36" s="4" t="s">
        <v>58</v>
      </c>
      <c r="AQ36" s="4" t="s">
        <v>58</v>
      </c>
      <c r="AR36" s="4" t="s">
        <v>58</v>
      </c>
      <c r="AS36" s="4">
        <v>0</v>
      </c>
      <c r="AT36" s="4">
        <v>0</v>
      </c>
      <c r="AU36" s="4">
        <v>0</v>
      </c>
      <c r="AV36" s="4" t="s">
        <v>58</v>
      </c>
      <c r="AW36" s="4">
        <v>0</v>
      </c>
      <c r="AX36" s="4">
        <v>0</v>
      </c>
      <c r="AY36" s="4" t="s">
        <v>58</v>
      </c>
      <c r="AZ36" s="4" t="s">
        <v>58</v>
      </c>
    </row>
    <row r="37" spans="1:52" x14ac:dyDescent="0.25">
      <c r="A37" s="4">
        <v>34</v>
      </c>
      <c r="B37" s="5">
        <v>43101</v>
      </c>
      <c r="C37" s="4" t="s">
        <v>29</v>
      </c>
      <c r="D37" s="4">
        <v>2018</v>
      </c>
      <c r="E37" s="4">
        <v>1</v>
      </c>
      <c r="F37" s="4" t="s">
        <v>62</v>
      </c>
      <c r="G37" s="4">
        <v>3</v>
      </c>
      <c r="H37" s="4" t="s">
        <v>70</v>
      </c>
      <c r="I37" s="4">
        <v>985</v>
      </c>
      <c r="J37" s="4">
        <v>1000</v>
      </c>
      <c r="K37" s="4">
        <v>-225</v>
      </c>
      <c r="L37" s="4">
        <v>0</v>
      </c>
      <c r="M37" s="4">
        <v>0</v>
      </c>
      <c r="N37" s="4">
        <v>0</v>
      </c>
      <c r="O37" s="4">
        <v>5</v>
      </c>
      <c r="P37" s="4">
        <v>980</v>
      </c>
      <c r="Q37" s="4">
        <v>1000</v>
      </c>
      <c r="R37" s="4">
        <v>1000</v>
      </c>
      <c r="S37" s="4">
        <v>-225</v>
      </c>
      <c r="T37" s="4">
        <v>5</v>
      </c>
      <c r="U37" s="4">
        <v>0</v>
      </c>
      <c r="V37" s="4">
        <v>0</v>
      </c>
      <c r="W37" s="4">
        <v>0</v>
      </c>
      <c r="X37" s="8">
        <v>0.22500000000000001</v>
      </c>
      <c r="Y37" s="8">
        <v>0.22500000000000001</v>
      </c>
      <c r="Z37" s="4">
        <v>0.22</v>
      </c>
      <c r="AA37" s="4" t="s">
        <v>76</v>
      </c>
      <c r="AB37" s="4" t="s">
        <v>73</v>
      </c>
      <c r="AC37" s="4" t="s">
        <v>7</v>
      </c>
      <c r="AD37" s="4">
        <v>5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5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4">
        <v>0</v>
      </c>
      <c r="AW37" s="4">
        <v>0</v>
      </c>
      <c r="AX37" s="4">
        <v>0</v>
      </c>
      <c r="AY37" s="4">
        <v>-5</v>
      </c>
      <c r="AZ37" s="4">
        <v>0</v>
      </c>
    </row>
    <row r="38" spans="1:52" x14ac:dyDescent="0.25">
      <c r="A38" s="4">
        <v>35</v>
      </c>
      <c r="B38" s="5">
        <v>43132</v>
      </c>
      <c r="C38" s="4" t="s">
        <v>29</v>
      </c>
      <c r="D38" s="4">
        <v>2018</v>
      </c>
      <c r="E38" s="4">
        <v>2</v>
      </c>
      <c r="F38" s="4" t="s">
        <v>62</v>
      </c>
      <c r="G38" s="4">
        <v>2</v>
      </c>
      <c r="H38" s="4" t="s">
        <v>57</v>
      </c>
      <c r="I38" s="4">
        <v>490</v>
      </c>
      <c r="J38" s="4">
        <v>500</v>
      </c>
      <c r="K38" s="4">
        <v>-55</v>
      </c>
      <c r="L38" s="4">
        <v>0</v>
      </c>
      <c r="M38" s="4">
        <v>0</v>
      </c>
      <c r="N38" s="4">
        <v>0</v>
      </c>
      <c r="O38" s="4">
        <v>2</v>
      </c>
      <c r="P38" s="4">
        <v>985</v>
      </c>
      <c r="Q38" s="4">
        <v>1000</v>
      </c>
      <c r="R38" s="4">
        <v>1000</v>
      </c>
      <c r="S38" s="4">
        <v>-225</v>
      </c>
      <c r="T38" s="4">
        <v>5</v>
      </c>
      <c r="U38" s="4">
        <v>-500</v>
      </c>
      <c r="V38" s="4">
        <v>0</v>
      </c>
      <c r="W38" s="4">
        <v>-500</v>
      </c>
      <c r="X38" s="8">
        <v>0.11</v>
      </c>
      <c r="Y38" s="8">
        <v>0.22500000000000001</v>
      </c>
      <c r="Z38" s="4">
        <v>0.22</v>
      </c>
      <c r="AA38" s="4" t="s">
        <v>74</v>
      </c>
      <c r="AB38" s="4" t="s">
        <v>78</v>
      </c>
      <c r="AC38" s="4" t="s">
        <v>28</v>
      </c>
      <c r="AD38" s="4">
        <v>5</v>
      </c>
      <c r="AE38" s="4">
        <v>0</v>
      </c>
      <c r="AF38" s="4">
        <v>0</v>
      </c>
      <c r="AG38" s="4">
        <v>0</v>
      </c>
      <c r="AH38" s="4">
        <v>-500</v>
      </c>
      <c r="AI38" s="4">
        <v>0</v>
      </c>
      <c r="AJ38" s="4">
        <v>5</v>
      </c>
      <c r="AK38" s="4">
        <v>0</v>
      </c>
      <c r="AL38" s="4">
        <v>-485</v>
      </c>
      <c r="AM38" s="4">
        <v>485</v>
      </c>
      <c r="AN38" s="4">
        <v>0</v>
      </c>
      <c r="AO38" s="4">
        <v>0</v>
      </c>
      <c r="AP38" s="4">
        <v>0</v>
      </c>
      <c r="AQ38" s="4">
        <v>110</v>
      </c>
      <c r="AR38" s="4">
        <v>0</v>
      </c>
      <c r="AS38" s="4">
        <v>0</v>
      </c>
      <c r="AT38" s="4">
        <v>0</v>
      </c>
      <c r="AU38" s="4">
        <v>60</v>
      </c>
      <c r="AV38" s="4">
        <v>0</v>
      </c>
      <c r="AW38" s="4">
        <v>115</v>
      </c>
      <c r="AX38" s="4">
        <v>-115</v>
      </c>
      <c r="AY38" s="4">
        <v>495</v>
      </c>
      <c r="AZ38" s="4">
        <v>-170</v>
      </c>
    </row>
    <row r="39" spans="1:52" x14ac:dyDescent="0.25">
      <c r="A39" s="4">
        <v>36</v>
      </c>
      <c r="B39" s="5">
        <v>43160</v>
      </c>
      <c r="C39" s="4" t="s">
        <v>29</v>
      </c>
      <c r="D39" s="4">
        <v>2018</v>
      </c>
      <c r="E39" s="4">
        <v>3</v>
      </c>
      <c r="F39" s="4" t="s">
        <v>62</v>
      </c>
      <c r="G39" s="4">
        <v>2</v>
      </c>
      <c r="H39" s="4" t="s">
        <v>57</v>
      </c>
      <c r="I39" s="4">
        <v>495</v>
      </c>
      <c r="J39" s="4">
        <v>500</v>
      </c>
      <c r="K39" s="4">
        <v>-55</v>
      </c>
      <c r="L39" s="4">
        <v>0</v>
      </c>
      <c r="M39" s="4">
        <v>25</v>
      </c>
      <c r="N39" s="4">
        <v>100</v>
      </c>
      <c r="O39" s="4">
        <v>2</v>
      </c>
      <c r="P39" s="4">
        <v>490</v>
      </c>
      <c r="Q39" s="4">
        <v>500</v>
      </c>
      <c r="R39" s="4">
        <v>1000</v>
      </c>
      <c r="S39" s="4">
        <v>-55</v>
      </c>
      <c r="T39" s="4">
        <v>2</v>
      </c>
      <c r="U39" s="4">
        <v>-500</v>
      </c>
      <c r="V39" s="4">
        <v>0</v>
      </c>
      <c r="W39" s="4">
        <v>-500</v>
      </c>
      <c r="X39" s="8">
        <v>0.11</v>
      </c>
      <c r="Y39" s="8">
        <v>0.11</v>
      </c>
      <c r="Z39" s="4">
        <v>0.11</v>
      </c>
      <c r="AA39" s="4" t="s">
        <v>76</v>
      </c>
      <c r="AB39" s="4" t="s">
        <v>73</v>
      </c>
      <c r="AC39" s="4" t="s">
        <v>7</v>
      </c>
      <c r="AD39" s="4">
        <v>2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5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45</v>
      </c>
      <c r="AU39" s="4">
        <v>0</v>
      </c>
      <c r="AV39" s="4">
        <v>-45</v>
      </c>
      <c r="AW39" s="4">
        <v>0</v>
      </c>
      <c r="AX39" s="4">
        <v>0</v>
      </c>
      <c r="AY39" s="4">
        <v>-5</v>
      </c>
      <c r="AZ39" s="4">
        <v>0</v>
      </c>
    </row>
    <row r="40" spans="1:52" x14ac:dyDescent="0.25">
      <c r="A40" s="4">
        <v>37</v>
      </c>
      <c r="B40" s="5">
        <v>43070</v>
      </c>
      <c r="C40" s="4" t="s">
        <v>30</v>
      </c>
      <c r="D40" s="4">
        <v>2017</v>
      </c>
      <c r="E40" s="4">
        <v>12</v>
      </c>
      <c r="F40" s="4" t="s">
        <v>56</v>
      </c>
      <c r="G40" s="4">
        <v>3</v>
      </c>
      <c r="H40" s="4" t="s">
        <v>57</v>
      </c>
      <c r="I40" s="4">
        <v>1250</v>
      </c>
      <c r="J40" s="4">
        <v>1250</v>
      </c>
      <c r="K40" s="4">
        <v>400</v>
      </c>
      <c r="L40" s="4">
        <v>0</v>
      </c>
      <c r="M40" s="4">
        <v>0</v>
      </c>
      <c r="N40" s="4">
        <v>0</v>
      </c>
      <c r="O40" s="4">
        <v>3</v>
      </c>
      <c r="P40" s="4" t="s">
        <v>58</v>
      </c>
      <c r="Q40" s="4" t="s">
        <v>58</v>
      </c>
      <c r="R40" s="4">
        <v>1250</v>
      </c>
      <c r="S40" s="4" t="s">
        <v>58</v>
      </c>
      <c r="T40" s="4" t="s">
        <v>58</v>
      </c>
      <c r="U40" s="4">
        <v>0</v>
      </c>
      <c r="V40" s="4">
        <v>0</v>
      </c>
      <c r="W40" s="4">
        <v>0</v>
      </c>
      <c r="X40" s="8">
        <v>-0.32</v>
      </c>
      <c r="Y40" s="8" t="s">
        <v>58</v>
      </c>
      <c r="Z40" s="4" t="s">
        <v>58</v>
      </c>
      <c r="AA40" s="4" t="s">
        <v>76</v>
      </c>
      <c r="AB40" s="4" t="s">
        <v>73</v>
      </c>
      <c r="AC40" s="4" t="s">
        <v>7</v>
      </c>
      <c r="AD40" s="4">
        <v>3</v>
      </c>
      <c r="AE40" s="4" t="s">
        <v>58</v>
      </c>
      <c r="AF40" s="4">
        <v>0</v>
      </c>
      <c r="AG40" s="4">
        <v>0</v>
      </c>
      <c r="AH40" s="4">
        <v>0</v>
      </c>
      <c r="AI40" s="4" t="s">
        <v>58</v>
      </c>
      <c r="AJ40" s="4" t="s">
        <v>58</v>
      </c>
      <c r="AK40" s="4">
        <v>0</v>
      </c>
      <c r="AL40" s="4">
        <v>0</v>
      </c>
      <c r="AM40" s="4">
        <v>0</v>
      </c>
      <c r="AN40" s="4" t="s">
        <v>58</v>
      </c>
      <c r="AO40" s="4" t="s">
        <v>58</v>
      </c>
      <c r="AP40" s="4" t="s">
        <v>58</v>
      </c>
      <c r="AQ40" s="4" t="s">
        <v>58</v>
      </c>
      <c r="AR40" s="4" t="s">
        <v>58</v>
      </c>
      <c r="AS40" s="4">
        <v>0</v>
      </c>
      <c r="AT40" s="4">
        <v>0</v>
      </c>
      <c r="AU40" s="4">
        <v>0</v>
      </c>
      <c r="AV40" s="4" t="s">
        <v>58</v>
      </c>
      <c r="AW40" s="4">
        <v>0</v>
      </c>
      <c r="AX40" s="4">
        <v>0</v>
      </c>
      <c r="AY40" s="4" t="s">
        <v>58</v>
      </c>
      <c r="AZ40" s="4" t="s">
        <v>58</v>
      </c>
    </row>
    <row r="41" spans="1:52" x14ac:dyDescent="0.25">
      <c r="A41" s="4">
        <v>38</v>
      </c>
      <c r="B41" s="5">
        <v>43101</v>
      </c>
      <c r="C41" s="4" t="s">
        <v>30</v>
      </c>
      <c r="D41" s="4">
        <v>2018</v>
      </c>
      <c r="E41" s="4">
        <v>1</v>
      </c>
      <c r="F41" s="4" t="s">
        <v>56</v>
      </c>
      <c r="G41" s="4">
        <v>3</v>
      </c>
      <c r="H41" s="4" t="s">
        <v>57</v>
      </c>
      <c r="I41" s="4">
        <v>1250</v>
      </c>
      <c r="J41" s="4">
        <v>1250</v>
      </c>
      <c r="K41" s="4">
        <v>0.02</v>
      </c>
      <c r="L41" s="4">
        <v>0</v>
      </c>
      <c r="M41" s="4">
        <v>0</v>
      </c>
      <c r="N41" s="4">
        <v>0</v>
      </c>
      <c r="O41" s="4">
        <v>3</v>
      </c>
      <c r="P41" s="4">
        <v>1250</v>
      </c>
      <c r="Q41" s="4">
        <v>1250</v>
      </c>
      <c r="R41" s="4">
        <v>1250</v>
      </c>
      <c r="S41" s="4">
        <v>400</v>
      </c>
      <c r="T41" s="4">
        <v>3</v>
      </c>
      <c r="U41" s="4">
        <v>0</v>
      </c>
      <c r="V41" s="4">
        <v>0</v>
      </c>
      <c r="W41" s="4">
        <v>0</v>
      </c>
      <c r="X41" s="8">
        <v>-1.5999999999999999E-5</v>
      </c>
      <c r="Y41" s="8">
        <v>-0.32</v>
      </c>
      <c r="Z41" s="4">
        <v>0</v>
      </c>
      <c r="AA41" s="4" t="s">
        <v>76</v>
      </c>
      <c r="AB41" s="4" t="s">
        <v>73</v>
      </c>
      <c r="AC41" s="4" t="s">
        <v>7</v>
      </c>
      <c r="AD41" s="4">
        <v>3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4">
        <v>-399.98</v>
      </c>
      <c r="AW41" s="4">
        <v>0</v>
      </c>
      <c r="AX41" s="4">
        <v>0</v>
      </c>
      <c r="AY41" s="4">
        <v>0</v>
      </c>
      <c r="AZ41" s="4">
        <v>399.98</v>
      </c>
    </row>
    <row r="42" spans="1:52" x14ac:dyDescent="0.25">
      <c r="A42" s="4">
        <v>39</v>
      </c>
      <c r="B42" s="5">
        <v>43132</v>
      </c>
      <c r="C42" s="4" t="s">
        <v>30</v>
      </c>
      <c r="D42" s="4">
        <v>2018</v>
      </c>
      <c r="E42" s="4">
        <v>2</v>
      </c>
      <c r="F42" s="4" t="s">
        <v>56</v>
      </c>
      <c r="G42" s="4">
        <v>3</v>
      </c>
      <c r="H42" s="4" t="s">
        <v>57</v>
      </c>
      <c r="I42" s="4">
        <v>1000</v>
      </c>
      <c r="J42" s="4">
        <v>1000</v>
      </c>
      <c r="K42" s="4">
        <v>0.02</v>
      </c>
      <c r="L42" s="4">
        <v>0</v>
      </c>
      <c r="M42" s="4">
        <v>0</v>
      </c>
      <c r="N42" s="4">
        <v>0</v>
      </c>
      <c r="O42" s="4">
        <v>3</v>
      </c>
      <c r="P42" s="4">
        <v>1250</v>
      </c>
      <c r="Q42" s="4">
        <v>1250</v>
      </c>
      <c r="R42" s="4">
        <v>1250</v>
      </c>
      <c r="S42" s="4">
        <v>0.02</v>
      </c>
      <c r="T42" s="4">
        <v>3</v>
      </c>
      <c r="U42" s="4">
        <v>-250</v>
      </c>
      <c r="V42" s="4">
        <v>0</v>
      </c>
      <c r="W42" s="4">
        <v>-250</v>
      </c>
      <c r="X42" s="8">
        <v>-2.0000000000000002E-5</v>
      </c>
      <c r="Y42" s="8">
        <v>-1.5999999999999999E-5</v>
      </c>
      <c r="Z42" s="4">
        <v>0</v>
      </c>
      <c r="AA42" s="4" t="s">
        <v>74</v>
      </c>
      <c r="AB42" s="4" t="s">
        <v>73</v>
      </c>
      <c r="AC42" s="4" t="s">
        <v>7</v>
      </c>
      <c r="AD42" s="4">
        <v>3</v>
      </c>
      <c r="AE42" s="4">
        <v>0</v>
      </c>
      <c r="AF42" s="4">
        <v>0</v>
      </c>
      <c r="AG42" s="4">
        <v>0</v>
      </c>
      <c r="AH42" s="4">
        <v>0</v>
      </c>
      <c r="AI42" s="4">
        <v>-250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4">
        <v>0</v>
      </c>
      <c r="AW42" s="4">
        <v>0</v>
      </c>
      <c r="AX42" s="4">
        <v>0</v>
      </c>
      <c r="AY42" s="4">
        <v>250</v>
      </c>
      <c r="AZ42" s="4">
        <v>0</v>
      </c>
    </row>
    <row r="43" spans="1:52" x14ac:dyDescent="0.25">
      <c r="A43" s="4">
        <v>40</v>
      </c>
      <c r="B43" s="5">
        <v>43160</v>
      </c>
      <c r="C43" s="4" t="s">
        <v>30</v>
      </c>
      <c r="D43" s="4" t="s">
        <v>58</v>
      </c>
      <c r="E43" s="4" t="s">
        <v>58</v>
      </c>
      <c r="F43" s="4" t="s">
        <v>56</v>
      </c>
      <c r="G43" s="4" t="s">
        <v>58</v>
      </c>
      <c r="H43" s="4" t="s">
        <v>58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3</v>
      </c>
      <c r="P43" s="4">
        <v>1000</v>
      </c>
      <c r="Q43" s="4">
        <v>1000</v>
      </c>
      <c r="R43" s="4">
        <v>1250</v>
      </c>
      <c r="S43" s="4">
        <v>0.02</v>
      </c>
      <c r="T43" s="4">
        <v>3</v>
      </c>
      <c r="U43" s="4">
        <v>-1250</v>
      </c>
      <c r="V43" s="4">
        <v>0</v>
      </c>
      <c r="W43" s="4">
        <v>-1250</v>
      </c>
      <c r="X43" s="8" t="s">
        <v>58</v>
      </c>
      <c r="Y43" s="8">
        <v>-2.0000000000000002E-5</v>
      </c>
      <c r="Z43" s="4">
        <v>0</v>
      </c>
      <c r="AA43" s="4" t="s">
        <v>74</v>
      </c>
      <c r="AB43" s="4" t="s">
        <v>73</v>
      </c>
      <c r="AC43" s="4" t="s">
        <v>7</v>
      </c>
      <c r="AD43" s="4">
        <v>3</v>
      </c>
      <c r="AE43" s="4">
        <v>0</v>
      </c>
      <c r="AF43" s="4">
        <v>0</v>
      </c>
      <c r="AG43" s="4">
        <v>0</v>
      </c>
      <c r="AH43" s="4">
        <v>0</v>
      </c>
      <c r="AI43" s="4">
        <v>-1000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0</v>
      </c>
      <c r="AU43" s="4">
        <v>0</v>
      </c>
      <c r="AV43" s="4">
        <v>-0.02</v>
      </c>
      <c r="AW43" s="4">
        <v>0</v>
      </c>
      <c r="AX43" s="4">
        <v>0</v>
      </c>
      <c r="AY43" s="4">
        <v>1000</v>
      </c>
      <c r="AZ43" s="4">
        <v>0.02</v>
      </c>
    </row>
    <row r="44" spans="1:52" x14ac:dyDescent="0.25">
      <c r="A44" s="4">
        <v>41</v>
      </c>
      <c r="B44" s="5">
        <v>43070</v>
      </c>
      <c r="C44" s="4" t="s">
        <v>31</v>
      </c>
      <c r="D44" s="4">
        <v>2017</v>
      </c>
      <c r="E44" s="4">
        <v>12</v>
      </c>
      <c r="F44" s="4" t="s">
        <v>62</v>
      </c>
      <c r="G44" s="4">
        <v>1</v>
      </c>
      <c r="H44" s="4" t="s">
        <v>57</v>
      </c>
      <c r="I44" s="4">
        <v>500</v>
      </c>
      <c r="J44" s="4">
        <v>500</v>
      </c>
      <c r="K44" s="4">
        <v>10</v>
      </c>
      <c r="L44" s="4">
        <v>0</v>
      </c>
      <c r="M44" s="4">
        <v>0</v>
      </c>
      <c r="N44" s="4">
        <v>0</v>
      </c>
      <c r="O44" s="4">
        <v>1</v>
      </c>
      <c r="P44" s="4" t="s">
        <v>58</v>
      </c>
      <c r="Q44" s="4" t="s">
        <v>58</v>
      </c>
      <c r="R44" s="4">
        <v>500</v>
      </c>
      <c r="S44" s="4" t="s">
        <v>58</v>
      </c>
      <c r="T44" s="4" t="s">
        <v>58</v>
      </c>
      <c r="U44" s="4">
        <v>0</v>
      </c>
      <c r="V44" s="4">
        <v>0</v>
      </c>
      <c r="W44" s="4">
        <v>0</v>
      </c>
      <c r="X44" s="8">
        <v>-0.02</v>
      </c>
      <c r="Y44" s="8" t="s">
        <v>58</v>
      </c>
      <c r="Z44" s="4" t="s">
        <v>58</v>
      </c>
      <c r="AA44" s="4" t="s">
        <v>76</v>
      </c>
      <c r="AB44" s="4" t="s">
        <v>73</v>
      </c>
      <c r="AC44" s="4" t="s">
        <v>7</v>
      </c>
      <c r="AD44" s="4">
        <v>1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 t="s">
        <v>58</v>
      </c>
      <c r="AK44" s="4">
        <v>0</v>
      </c>
      <c r="AL44" s="4">
        <v>0</v>
      </c>
      <c r="AM44" s="4">
        <v>0</v>
      </c>
      <c r="AN44" s="4" t="s">
        <v>58</v>
      </c>
      <c r="AO44" s="4" t="s">
        <v>58</v>
      </c>
      <c r="AP44" s="4" t="s">
        <v>58</v>
      </c>
      <c r="AQ44" s="4" t="s">
        <v>58</v>
      </c>
      <c r="AR44" s="4" t="s">
        <v>58</v>
      </c>
      <c r="AS44" s="4">
        <v>0</v>
      </c>
      <c r="AT44" s="4">
        <v>0</v>
      </c>
      <c r="AU44" s="4">
        <v>0</v>
      </c>
      <c r="AV44" s="4" t="s">
        <v>58</v>
      </c>
      <c r="AW44" s="4">
        <v>0</v>
      </c>
      <c r="AX44" s="4">
        <v>0</v>
      </c>
      <c r="AY44" s="4" t="s">
        <v>58</v>
      </c>
      <c r="AZ44" s="4" t="s">
        <v>58</v>
      </c>
    </row>
    <row r="45" spans="1:52" x14ac:dyDescent="0.25">
      <c r="A45" s="4">
        <v>42</v>
      </c>
      <c r="B45" s="5">
        <v>43101</v>
      </c>
      <c r="C45" s="4" t="s">
        <v>31</v>
      </c>
      <c r="D45" s="4">
        <v>2018</v>
      </c>
      <c r="E45" s="4">
        <v>1</v>
      </c>
      <c r="F45" s="4" t="s">
        <v>62</v>
      </c>
      <c r="G45" s="4">
        <v>1</v>
      </c>
      <c r="H45" s="4" t="s">
        <v>57</v>
      </c>
      <c r="I45" s="4">
        <v>0.01</v>
      </c>
      <c r="J45" s="4">
        <v>0.01</v>
      </c>
      <c r="K45" s="4">
        <v>2</v>
      </c>
      <c r="L45" s="4">
        <v>0</v>
      </c>
      <c r="M45" s="4">
        <v>0</v>
      </c>
      <c r="N45" s="4">
        <v>0</v>
      </c>
      <c r="O45" s="4">
        <v>1</v>
      </c>
      <c r="P45" s="4">
        <v>500</v>
      </c>
      <c r="Q45" s="4">
        <v>500</v>
      </c>
      <c r="R45" s="4">
        <v>500</v>
      </c>
      <c r="S45" s="4">
        <v>10</v>
      </c>
      <c r="T45" s="4">
        <v>1</v>
      </c>
      <c r="U45" s="4">
        <v>-499.99</v>
      </c>
      <c r="V45" s="4">
        <v>0</v>
      </c>
      <c r="W45" s="4">
        <v>-499.99</v>
      </c>
      <c r="X45" s="8">
        <v>-200</v>
      </c>
      <c r="Y45" s="8">
        <v>-0.02</v>
      </c>
      <c r="Z45" s="4">
        <v>0</v>
      </c>
      <c r="AA45" s="4" t="s">
        <v>74</v>
      </c>
      <c r="AB45" s="4" t="s">
        <v>73</v>
      </c>
      <c r="AC45" s="4" t="s">
        <v>7</v>
      </c>
      <c r="AD45" s="4">
        <v>1</v>
      </c>
      <c r="AE45" s="4">
        <v>0</v>
      </c>
      <c r="AF45" s="4">
        <v>0</v>
      </c>
      <c r="AG45" s="4">
        <v>0</v>
      </c>
      <c r="AH45" s="4">
        <v>-499.99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-8</v>
      </c>
      <c r="AW45" s="4">
        <v>0</v>
      </c>
      <c r="AX45" s="4">
        <v>0</v>
      </c>
      <c r="AY45" s="4">
        <v>499.99</v>
      </c>
      <c r="AZ45" s="4">
        <v>8</v>
      </c>
    </row>
    <row r="46" spans="1:52" x14ac:dyDescent="0.25">
      <c r="A46" s="4">
        <v>43</v>
      </c>
      <c r="B46" s="5">
        <v>43132</v>
      </c>
      <c r="C46" s="4" t="s">
        <v>31</v>
      </c>
      <c r="D46" s="4">
        <v>2018</v>
      </c>
      <c r="E46" s="4">
        <v>2</v>
      </c>
      <c r="F46" s="4" t="s">
        <v>62</v>
      </c>
      <c r="G46" s="4">
        <v>1</v>
      </c>
      <c r="H46" s="4" t="s">
        <v>57</v>
      </c>
      <c r="I46" s="4">
        <v>0.01</v>
      </c>
      <c r="J46" s="4">
        <v>0.01</v>
      </c>
      <c r="K46" s="4">
        <v>2</v>
      </c>
      <c r="L46" s="4">
        <v>0</v>
      </c>
      <c r="M46" s="4">
        <v>0</v>
      </c>
      <c r="N46" s="4">
        <v>0</v>
      </c>
      <c r="O46" s="4">
        <v>1</v>
      </c>
      <c r="P46" s="4">
        <v>0.01</v>
      </c>
      <c r="Q46" s="4">
        <v>0.01</v>
      </c>
      <c r="R46" s="4">
        <v>500</v>
      </c>
      <c r="S46" s="4">
        <v>2</v>
      </c>
      <c r="T46" s="4">
        <v>1</v>
      </c>
      <c r="U46" s="4">
        <v>-499.99</v>
      </c>
      <c r="V46" s="4">
        <v>0</v>
      </c>
      <c r="W46" s="4">
        <v>-499.99</v>
      </c>
      <c r="X46" s="8">
        <v>-200</v>
      </c>
      <c r="Y46" s="8">
        <v>-200</v>
      </c>
      <c r="Z46" s="4">
        <v>0</v>
      </c>
      <c r="AA46" s="4" t="s">
        <v>76</v>
      </c>
      <c r="AB46" s="4" t="s">
        <v>73</v>
      </c>
      <c r="AC46" s="4" t="s">
        <v>7</v>
      </c>
      <c r="AD46" s="4">
        <v>1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</row>
    <row r="47" spans="1:52" x14ac:dyDescent="0.25">
      <c r="A47" s="4">
        <v>44</v>
      </c>
      <c r="B47" s="5">
        <v>43160</v>
      </c>
      <c r="C47" s="4" t="s">
        <v>31</v>
      </c>
      <c r="D47" s="4">
        <v>2018</v>
      </c>
      <c r="E47" s="4">
        <v>3</v>
      </c>
      <c r="F47" s="4" t="s">
        <v>62</v>
      </c>
      <c r="G47" s="4">
        <v>1</v>
      </c>
      <c r="H47" s="4" t="s">
        <v>57</v>
      </c>
      <c r="I47" s="4">
        <v>5</v>
      </c>
      <c r="J47" s="4">
        <v>5</v>
      </c>
      <c r="K47" s="4">
        <v>1</v>
      </c>
      <c r="L47" s="4">
        <v>0</v>
      </c>
      <c r="M47" s="4">
        <v>1</v>
      </c>
      <c r="N47" s="4">
        <v>2</v>
      </c>
      <c r="O47" s="4">
        <v>1</v>
      </c>
      <c r="P47" s="4">
        <v>0.01</v>
      </c>
      <c r="Q47" s="4">
        <v>0.01</v>
      </c>
      <c r="R47" s="4">
        <v>500</v>
      </c>
      <c r="S47" s="4">
        <v>2</v>
      </c>
      <c r="T47" s="4">
        <v>1</v>
      </c>
      <c r="U47" s="4">
        <v>-495</v>
      </c>
      <c r="V47" s="4">
        <v>0</v>
      </c>
      <c r="W47" s="4">
        <v>-495</v>
      </c>
      <c r="X47" s="8">
        <v>-0.2</v>
      </c>
      <c r="Y47" s="8">
        <v>-200</v>
      </c>
      <c r="Z47" s="4">
        <v>0</v>
      </c>
      <c r="AA47" s="4" t="s">
        <v>75</v>
      </c>
      <c r="AB47" s="4" t="s">
        <v>73</v>
      </c>
      <c r="AC47" s="4" t="s">
        <v>7</v>
      </c>
      <c r="AD47" s="4">
        <v>1</v>
      </c>
      <c r="AE47" s="4">
        <v>0</v>
      </c>
      <c r="AF47" s="4">
        <v>4.99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</v>
      </c>
      <c r="AU47" s="4">
        <v>0</v>
      </c>
      <c r="AV47" s="4">
        <v>-3</v>
      </c>
      <c r="AW47" s="4">
        <v>0</v>
      </c>
      <c r="AX47" s="4">
        <v>0</v>
      </c>
      <c r="AY47" s="4">
        <v>-4.99</v>
      </c>
      <c r="AZ47" s="4">
        <v>1</v>
      </c>
    </row>
    <row r="48" spans="1:52" x14ac:dyDescent="0.25">
      <c r="A48" s="4">
        <v>45</v>
      </c>
      <c r="B48" s="5">
        <v>43070</v>
      </c>
      <c r="C48" s="4" t="s">
        <v>33</v>
      </c>
      <c r="D48" s="4">
        <v>2017</v>
      </c>
      <c r="E48" s="4">
        <v>12</v>
      </c>
      <c r="F48" s="4" t="s">
        <v>56</v>
      </c>
      <c r="G48" s="4">
        <v>3</v>
      </c>
      <c r="H48" s="4" t="s">
        <v>57</v>
      </c>
      <c r="I48" s="4">
        <v>475</v>
      </c>
      <c r="J48" s="4">
        <v>475</v>
      </c>
      <c r="K48" s="4">
        <v>-600</v>
      </c>
      <c r="L48" s="4">
        <v>0</v>
      </c>
      <c r="M48" s="4">
        <v>0</v>
      </c>
      <c r="N48" s="4">
        <v>0</v>
      </c>
      <c r="O48" s="4">
        <v>3</v>
      </c>
      <c r="P48" s="4" t="s">
        <v>58</v>
      </c>
      <c r="Q48" s="4" t="s">
        <v>58</v>
      </c>
      <c r="R48" s="4">
        <v>475</v>
      </c>
      <c r="S48" s="4" t="s">
        <v>58</v>
      </c>
      <c r="T48" s="4" t="s">
        <v>58</v>
      </c>
      <c r="U48" s="4">
        <v>0</v>
      </c>
      <c r="V48" s="4">
        <v>0</v>
      </c>
      <c r="W48" s="4">
        <v>0</v>
      </c>
      <c r="X48" s="8">
        <v>1.26315789473684</v>
      </c>
      <c r="Y48" s="8" t="s">
        <v>58</v>
      </c>
      <c r="Z48" s="4" t="s">
        <v>58</v>
      </c>
      <c r="AA48" s="4" t="s">
        <v>76</v>
      </c>
      <c r="AB48" s="4" t="s">
        <v>73</v>
      </c>
      <c r="AC48" s="4" t="s">
        <v>7</v>
      </c>
      <c r="AD48" s="4">
        <v>3</v>
      </c>
      <c r="AE48" s="4" t="s">
        <v>58</v>
      </c>
      <c r="AF48" s="4">
        <v>0</v>
      </c>
      <c r="AG48" s="4">
        <v>0</v>
      </c>
      <c r="AH48" s="4">
        <v>0</v>
      </c>
      <c r="AI48" s="4" t="s">
        <v>58</v>
      </c>
      <c r="AJ48" s="4" t="s">
        <v>58</v>
      </c>
      <c r="AK48" s="4">
        <v>0</v>
      </c>
      <c r="AL48" s="4">
        <v>0</v>
      </c>
      <c r="AM48" s="4">
        <v>0</v>
      </c>
      <c r="AN48" s="4" t="s">
        <v>58</v>
      </c>
      <c r="AO48" s="4" t="s">
        <v>58</v>
      </c>
      <c r="AP48" s="4" t="s">
        <v>58</v>
      </c>
      <c r="AQ48" s="4" t="s">
        <v>58</v>
      </c>
      <c r="AR48" s="4" t="s">
        <v>58</v>
      </c>
      <c r="AS48" s="4">
        <v>0</v>
      </c>
      <c r="AT48" s="4">
        <v>0</v>
      </c>
      <c r="AU48" s="4">
        <v>0</v>
      </c>
      <c r="AV48" s="4" t="s">
        <v>58</v>
      </c>
      <c r="AW48" s="4">
        <v>0</v>
      </c>
      <c r="AX48" s="4">
        <v>0</v>
      </c>
      <c r="AY48" s="4" t="s">
        <v>58</v>
      </c>
      <c r="AZ48" s="4" t="s">
        <v>58</v>
      </c>
    </row>
    <row r="49" spans="1:52" x14ac:dyDescent="0.25">
      <c r="A49" s="4">
        <v>46</v>
      </c>
      <c r="B49" s="5">
        <v>43101</v>
      </c>
      <c r="C49" s="4" t="s">
        <v>33</v>
      </c>
      <c r="D49" s="4">
        <v>2018</v>
      </c>
      <c r="E49" s="4">
        <v>1</v>
      </c>
      <c r="F49" s="4" t="s">
        <v>56</v>
      </c>
      <c r="G49" s="4">
        <v>3</v>
      </c>
      <c r="H49" s="4" t="s">
        <v>57</v>
      </c>
      <c r="I49" s="4">
        <v>500</v>
      </c>
      <c r="J49" s="4">
        <v>500</v>
      </c>
      <c r="K49" s="4">
        <v>-590</v>
      </c>
      <c r="L49" s="4">
        <v>0</v>
      </c>
      <c r="M49" s="4">
        <v>0</v>
      </c>
      <c r="N49" s="4">
        <v>0</v>
      </c>
      <c r="O49" s="4">
        <v>3</v>
      </c>
      <c r="P49" s="4">
        <v>475</v>
      </c>
      <c r="Q49" s="4">
        <v>475</v>
      </c>
      <c r="R49" s="4">
        <v>475</v>
      </c>
      <c r="S49" s="4">
        <v>-600</v>
      </c>
      <c r="T49" s="4">
        <v>3</v>
      </c>
      <c r="U49" s="4">
        <v>25</v>
      </c>
      <c r="V49" s="4">
        <v>25</v>
      </c>
      <c r="W49" s="4">
        <v>0</v>
      </c>
      <c r="X49" s="8">
        <v>1.18</v>
      </c>
      <c r="Y49" s="8">
        <v>1.26315789473684</v>
      </c>
      <c r="Z49" s="4">
        <v>1</v>
      </c>
      <c r="AA49" s="4" t="s">
        <v>75</v>
      </c>
      <c r="AB49" s="4" t="s">
        <v>73</v>
      </c>
      <c r="AC49" s="4" t="s">
        <v>7</v>
      </c>
      <c r="AD49" s="4">
        <v>3</v>
      </c>
      <c r="AE49" s="4">
        <v>25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-25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35</v>
      </c>
      <c r="AW49" s="4">
        <v>0</v>
      </c>
      <c r="AX49" s="4">
        <v>0</v>
      </c>
      <c r="AY49" s="4">
        <v>-25</v>
      </c>
      <c r="AZ49" s="4">
        <v>-10</v>
      </c>
    </row>
    <row r="50" spans="1:52" x14ac:dyDescent="0.25">
      <c r="A50" s="4">
        <v>47</v>
      </c>
      <c r="B50" s="5">
        <v>43132</v>
      </c>
      <c r="C50" s="4" t="s">
        <v>33</v>
      </c>
      <c r="D50" s="4">
        <v>2018</v>
      </c>
      <c r="E50" s="4">
        <v>2</v>
      </c>
      <c r="F50" s="4" t="s">
        <v>56</v>
      </c>
      <c r="G50" s="4">
        <v>3</v>
      </c>
      <c r="H50" s="4" t="s">
        <v>57</v>
      </c>
      <c r="I50" s="4">
        <v>450</v>
      </c>
      <c r="J50" s="4">
        <v>450</v>
      </c>
      <c r="K50" s="4">
        <v>-580</v>
      </c>
      <c r="L50" s="4">
        <v>0</v>
      </c>
      <c r="M50" s="4">
        <v>0</v>
      </c>
      <c r="N50" s="4">
        <v>0</v>
      </c>
      <c r="O50" s="4">
        <v>3</v>
      </c>
      <c r="P50" s="4">
        <v>500</v>
      </c>
      <c r="Q50" s="4">
        <v>500</v>
      </c>
      <c r="R50" s="4">
        <v>475</v>
      </c>
      <c r="S50" s="4">
        <v>-590</v>
      </c>
      <c r="T50" s="4">
        <v>3</v>
      </c>
      <c r="U50" s="4">
        <v>-25</v>
      </c>
      <c r="V50" s="4">
        <v>0</v>
      </c>
      <c r="W50" s="4">
        <v>-25</v>
      </c>
      <c r="X50" s="8">
        <v>1.2888888888888901</v>
      </c>
      <c r="Y50" s="8">
        <v>1.18</v>
      </c>
      <c r="Z50" s="4">
        <v>1</v>
      </c>
      <c r="AA50" s="4" t="s">
        <v>74</v>
      </c>
      <c r="AB50" s="4" t="s">
        <v>73</v>
      </c>
      <c r="AC50" s="4" t="s">
        <v>7</v>
      </c>
      <c r="AD50" s="4">
        <v>3</v>
      </c>
      <c r="AE50" s="4">
        <v>-25</v>
      </c>
      <c r="AF50" s="4">
        <v>0</v>
      </c>
      <c r="AG50" s="4">
        <v>0</v>
      </c>
      <c r="AH50" s="4">
        <v>0</v>
      </c>
      <c r="AI50" s="4">
        <v>-25</v>
      </c>
      <c r="AJ50" s="4">
        <v>0</v>
      </c>
      <c r="AK50" s="4">
        <v>0</v>
      </c>
      <c r="AL50" s="4">
        <v>0</v>
      </c>
      <c r="AM50" s="4">
        <v>0</v>
      </c>
      <c r="AN50" s="4">
        <v>25</v>
      </c>
      <c r="AO50" s="4">
        <v>0</v>
      </c>
      <c r="AP50" s="4">
        <v>0</v>
      </c>
      <c r="AQ50" s="4">
        <v>0</v>
      </c>
      <c r="AR50" s="4">
        <v>25</v>
      </c>
      <c r="AS50" s="4">
        <v>0</v>
      </c>
      <c r="AT50" s="4">
        <v>0</v>
      </c>
      <c r="AU50" s="4">
        <v>0</v>
      </c>
      <c r="AV50" s="4">
        <v>-40</v>
      </c>
      <c r="AW50" s="4">
        <v>0</v>
      </c>
      <c r="AX50" s="4">
        <v>0</v>
      </c>
      <c r="AY50" s="4">
        <v>50</v>
      </c>
      <c r="AZ50" s="4">
        <v>-10</v>
      </c>
    </row>
    <row r="51" spans="1:52" x14ac:dyDescent="0.25">
      <c r="A51" s="4">
        <v>48</v>
      </c>
      <c r="B51" s="5">
        <v>43160</v>
      </c>
      <c r="C51" s="4" t="s">
        <v>33</v>
      </c>
      <c r="D51" s="4">
        <v>2018</v>
      </c>
      <c r="E51" s="4">
        <v>3</v>
      </c>
      <c r="F51" s="4" t="s">
        <v>56</v>
      </c>
      <c r="G51" s="4">
        <v>3</v>
      </c>
      <c r="H51" s="4" t="s">
        <v>57</v>
      </c>
      <c r="I51" s="4">
        <v>460</v>
      </c>
      <c r="J51" s="4">
        <v>460</v>
      </c>
      <c r="K51" s="4">
        <v>-580</v>
      </c>
      <c r="L51" s="4">
        <v>0</v>
      </c>
      <c r="M51" s="4">
        <v>100</v>
      </c>
      <c r="N51" s="4">
        <v>350</v>
      </c>
      <c r="O51" s="4">
        <v>3</v>
      </c>
      <c r="P51" s="4">
        <v>450</v>
      </c>
      <c r="Q51" s="4">
        <v>450</v>
      </c>
      <c r="R51" s="4">
        <v>475</v>
      </c>
      <c r="S51" s="4">
        <v>-580</v>
      </c>
      <c r="T51" s="4">
        <v>3</v>
      </c>
      <c r="U51" s="4">
        <v>-15</v>
      </c>
      <c r="V51" s="4">
        <v>0</v>
      </c>
      <c r="W51" s="4">
        <v>-15</v>
      </c>
      <c r="X51" s="8">
        <v>1.26086956521739</v>
      </c>
      <c r="Y51" s="8">
        <v>1.2888888888888901</v>
      </c>
      <c r="Z51" s="4">
        <v>1</v>
      </c>
      <c r="AA51" s="4" t="s">
        <v>75</v>
      </c>
      <c r="AB51" s="4" t="s">
        <v>73</v>
      </c>
      <c r="AC51" s="4" t="s">
        <v>7</v>
      </c>
      <c r="AD51" s="4">
        <v>3</v>
      </c>
      <c r="AE51" s="4">
        <v>0</v>
      </c>
      <c r="AF51" s="4">
        <v>0</v>
      </c>
      <c r="AG51" s="4">
        <v>0</v>
      </c>
      <c r="AH51" s="4">
        <v>0</v>
      </c>
      <c r="AI51" s="4">
        <v>10</v>
      </c>
      <c r="AJ51" s="4">
        <v>0</v>
      </c>
      <c r="AK51" s="4">
        <v>0</v>
      </c>
      <c r="AL51" s="4">
        <v>0</v>
      </c>
      <c r="AM51" s="4">
        <v>0</v>
      </c>
      <c r="AN51" s="4">
        <v>0</v>
      </c>
      <c r="AO51" s="4">
        <v>0</v>
      </c>
      <c r="AP51" s="4">
        <v>0</v>
      </c>
      <c r="AQ51" s="4">
        <v>0</v>
      </c>
      <c r="AR51" s="4">
        <v>-10</v>
      </c>
      <c r="AS51" s="4">
        <v>0</v>
      </c>
      <c r="AT51" s="4">
        <v>-230</v>
      </c>
      <c r="AU51" s="4">
        <v>0</v>
      </c>
      <c r="AV51" s="4">
        <v>240</v>
      </c>
      <c r="AW51" s="4">
        <v>0</v>
      </c>
      <c r="AX51" s="4">
        <v>0</v>
      </c>
      <c r="AY51" s="4">
        <v>-10</v>
      </c>
      <c r="AZ51" s="4">
        <v>0</v>
      </c>
    </row>
    <row r="52" spans="1:52" x14ac:dyDescent="0.25">
      <c r="A52" s="4">
        <v>49</v>
      </c>
      <c r="B52" s="5">
        <v>43070</v>
      </c>
      <c r="C52" s="4" t="s">
        <v>34</v>
      </c>
      <c r="D52" s="4" t="s">
        <v>58</v>
      </c>
      <c r="E52" s="4" t="s">
        <v>58</v>
      </c>
      <c r="F52" s="4" t="s">
        <v>58</v>
      </c>
      <c r="G52" s="4" t="s">
        <v>58</v>
      </c>
      <c r="H52" s="4" t="s">
        <v>58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1</v>
      </c>
      <c r="P52" s="4" t="s">
        <v>58</v>
      </c>
      <c r="Q52" s="4" t="s">
        <v>58</v>
      </c>
      <c r="R52" s="4">
        <v>0</v>
      </c>
      <c r="S52" s="4" t="s">
        <v>58</v>
      </c>
      <c r="T52" s="4" t="s">
        <v>58</v>
      </c>
      <c r="U52" s="4">
        <v>0</v>
      </c>
      <c r="V52" s="4">
        <v>0</v>
      </c>
      <c r="W52" s="4">
        <v>0</v>
      </c>
      <c r="X52" s="8" t="s">
        <v>58</v>
      </c>
      <c r="Y52" s="8" t="s">
        <v>58</v>
      </c>
      <c r="Z52" s="4" t="s">
        <v>58</v>
      </c>
      <c r="AA52" s="4" t="s">
        <v>76</v>
      </c>
      <c r="AB52" s="4" t="s">
        <v>73</v>
      </c>
      <c r="AC52" s="4" t="s">
        <v>7</v>
      </c>
      <c r="AD52" s="4">
        <v>1</v>
      </c>
      <c r="AE52" s="4" t="s">
        <v>58</v>
      </c>
      <c r="AF52" s="4">
        <v>0</v>
      </c>
      <c r="AG52" s="4">
        <v>0</v>
      </c>
      <c r="AH52" s="4">
        <v>0</v>
      </c>
      <c r="AI52" s="4" t="s">
        <v>58</v>
      </c>
      <c r="AJ52" s="4" t="s">
        <v>58</v>
      </c>
      <c r="AK52" s="4">
        <v>0</v>
      </c>
      <c r="AL52" s="4">
        <v>0</v>
      </c>
      <c r="AM52" s="4">
        <v>0</v>
      </c>
      <c r="AN52" s="4" t="s">
        <v>58</v>
      </c>
      <c r="AO52" s="4" t="s">
        <v>58</v>
      </c>
      <c r="AP52" s="4" t="s">
        <v>58</v>
      </c>
      <c r="AQ52" s="4" t="s">
        <v>58</v>
      </c>
      <c r="AR52" s="4" t="s">
        <v>58</v>
      </c>
      <c r="AS52" s="4">
        <v>0</v>
      </c>
      <c r="AT52" s="4">
        <v>0</v>
      </c>
      <c r="AU52" s="4">
        <v>0</v>
      </c>
      <c r="AV52" s="4" t="s">
        <v>58</v>
      </c>
      <c r="AW52" s="4">
        <v>0</v>
      </c>
      <c r="AX52" s="4">
        <v>0</v>
      </c>
      <c r="AY52" s="4" t="s">
        <v>58</v>
      </c>
      <c r="AZ52" s="4" t="s">
        <v>58</v>
      </c>
    </row>
    <row r="53" spans="1:52" x14ac:dyDescent="0.25">
      <c r="A53" s="4">
        <v>50</v>
      </c>
      <c r="B53" s="5">
        <v>43101</v>
      </c>
      <c r="C53" s="4" t="s">
        <v>34</v>
      </c>
      <c r="D53" s="4">
        <v>2018</v>
      </c>
      <c r="E53" s="4">
        <v>1</v>
      </c>
      <c r="F53" s="4" t="s">
        <v>56</v>
      </c>
      <c r="G53" s="4">
        <v>3</v>
      </c>
      <c r="H53" s="4" t="s">
        <v>57</v>
      </c>
      <c r="I53" s="4">
        <v>7500</v>
      </c>
      <c r="J53" s="4">
        <v>7500</v>
      </c>
      <c r="K53" s="4">
        <v>-3000</v>
      </c>
      <c r="L53" s="4">
        <v>0</v>
      </c>
      <c r="M53" s="4">
        <v>0</v>
      </c>
      <c r="N53" s="4">
        <v>0</v>
      </c>
      <c r="O53" s="4">
        <v>3</v>
      </c>
      <c r="P53" s="4">
        <v>0</v>
      </c>
      <c r="Q53" s="4">
        <v>0</v>
      </c>
      <c r="R53" s="4">
        <v>0</v>
      </c>
      <c r="S53" s="4">
        <v>0</v>
      </c>
      <c r="T53" s="4">
        <v>1</v>
      </c>
      <c r="U53" s="4">
        <v>7500</v>
      </c>
      <c r="V53" s="4">
        <v>7500</v>
      </c>
      <c r="W53" s="4">
        <v>0</v>
      </c>
      <c r="X53" s="8">
        <v>0.4</v>
      </c>
      <c r="Y53" s="8" t="s">
        <v>58</v>
      </c>
      <c r="Z53" s="4">
        <v>0.4</v>
      </c>
      <c r="AA53" s="4" t="s">
        <v>75</v>
      </c>
      <c r="AB53" s="4" t="s">
        <v>77</v>
      </c>
      <c r="AC53" s="4" t="s">
        <v>28</v>
      </c>
      <c r="AD53" s="4">
        <v>1</v>
      </c>
      <c r="AE53" s="4">
        <v>7500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-7500</v>
      </c>
      <c r="AM53" s="4">
        <v>7500</v>
      </c>
      <c r="AN53" s="4">
        <v>-3000</v>
      </c>
      <c r="AO53" s="4">
        <v>0</v>
      </c>
      <c r="AP53" s="4">
        <v>0</v>
      </c>
      <c r="AQ53" s="4">
        <v>0</v>
      </c>
      <c r="AR53" s="4">
        <v>0</v>
      </c>
      <c r="AS53" s="4">
        <v>0</v>
      </c>
      <c r="AT53" s="4">
        <v>0</v>
      </c>
      <c r="AU53" s="4">
        <v>0</v>
      </c>
      <c r="AV53" s="4">
        <v>0</v>
      </c>
      <c r="AW53" s="4">
        <v>3000</v>
      </c>
      <c r="AX53" s="4">
        <v>-3000</v>
      </c>
      <c r="AY53" s="4">
        <v>-7500</v>
      </c>
      <c r="AZ53" s="4">
        <v>3000</v>
      </c>
    </row>
    <row r="54" spans="1:52" x14ac:dyDescent="0.25">
      <c r="A54" s="4">
        <v>51</v>
      </c>
      <c r="B54" s="5">
        <v>43132</v>
      </c>
      <c r="C54" s="4" t="s">
        <v>34</v>
      </c>
      <c r="D54" s="4">
        <v>2018</v>
      </c>
      <c r="E54" s="4">
        <v>2</v>
      </c>
      <c r="F54" s="4" t="s">
        <v>56</v>
      </c>
      <c r="G54" s="4" t="s">
        <v>58</v>
      </c>
      <c r="H54" s="4" t="s">
        <v>57</v>
      </c>
      <c r="I54" s="4">
        <v>0</v>
      </c>
      <c r="J54" s="4">
        <v>0</v>
      </c>
      <c r="K54" s="4">
        <v>0</v>
      </c>
      <c r="L54" s="4">
        <v>4000</v>
      </c>
      <c r="M54" s="4">
        <v>0</v>
      </c>
      <c r="N54" s="4">
        <v>0</v>
      </c>
      <c r="O54" s="4">
        <v>3</v>
      </c>
      <c r="P54" s="4">
        <v>7500</v>
      </c>
      <c r="Q54" s="4">
        <v>7500</v>
      </c>
      <c r="R54" s="4">
        <v>0</v>
      </c>
      <c r="S54" s="4">
        <v>-3000</v>
      </c>
      <c r="T54" s="4">
        <v>3</v>
      </c>
      <c r="U54" s="4">
        <v>4000</v>
      </c>
      <c r="V54" s="4">
        <v>4000</v>
      </c>
      <c r="W54" s="4">
        <v>0</v>
      </c>
      <c r="X54" s="8" t="s">
        <v>58</v>
      </c>
      <c r="Y54" s="8">
        <v>0.4</v>
      </c>
      <c r="Z54" s="4">
        <v>0.4</v>
      </c>
      <c r="AA54" s="4" t="s">
        <v>74</v>
      </c>
      <c r="AB54" s="4" t="s">
        <v>73</v>
      </c>
      <c r="AC54" s="4" t="s">
        <v>7</v>
      </c>
      <c r="AD54" s="4">
        <v>3</v>
      </c>
      <c r="AE54" s="4">
        <v>-3500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-4000</v>
      </c>
      <c r="AL54" s="4">
        <v>0</v>
      </c>
      <c r="AM54" s="4">
        <v>0</v>
      </c>
      <c r="AN54" s="4">
        <v>1400</v>
      </c>
      <c r="AO54" s="4">
        <v>0</v>
      </c>
      <c r="AP54" s="4">
        <v>0</v>
      </c>
      <c r="AQ54" s="4">
        <v>0</v>
      </c>
      <c r="AR54" s="4">
        <v>0</v>
      </c>
      <c r="AS54" s="4">
        <v>4000</v>
      </c>
      <c r="AT54" s="4">
        <v>0</v>
      </c>
      <c r="AU54" s="4">
        <v>0</v>
      </c>
      <c r="AV54" s="4">
        <v>-2400</v>
      </c>
      <c r="AW54" s="4">
        <v>0</v>
      </c>
      <c r="AX54" s="4">
        <v>0</v>
      </c>
      <c r="AY54" s="4">
        <v>7500</v>
      </c>
      <c r="AZ54" s="4">
        <v>-3000</v>
      </c>
    </row>
    <row r="55" spans="1:52" x14ac:dyDescent="0.25">
      <c r="A55" s="4">
        <v>52</v>
      </c>
      <c r="B55" s="5">
        <v>43160</v>
      </c>
      <c r="C55" s="4" t="s">
        <v>34</v>
      </c>
      <c r="D55" s="4" t="s">
        <v>58</v>
      </c>
      <c r="E55" s="4" t="s">
        <v>58</v>
      </c>
      <c r="F55" s="4" t="s">
        <v>56</v>
      </c>
      <c r="G55" s="4" t="s">
        <v>58</v>
      </c>
      <c r="H55" s="4" t="s">
        <v>58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3</v>
      </c>
      <c r="P55" s="4">
        <v>0</v>
      </c>
      <c r="Q55" s="4">
        <v>0</v>
      </c>
      <c r="R55" s="4">
        <v>0</v>
      </c>
      <c r="S55" s="4">
        <v>0</v>
      </c>
      <c r="T55" s="4">
        <v>3</v>
      </c>
      <c r="U55" s="4">
        <v>4000</v>
      </c>
      <c r="V55" s="4">
        <v>4000</v>
      </c>
      <c r="W55" s="4">
        <v>0</v>
      </c>
      <c r="X55" s="8" t="s">
        <v>58</v>
      </c>
      <c r="Y55" s="8" t="s">
        <v>58</v>
      </c>
      <c r="Z55" s="4" t="s">
        <v>58</v>
      </c>
      <c r="AA55" s="4" t="s">
        <v>76</v>
      </c>
      <c r="AB55" s="4" t="s">
        <v>73</v>
      </c>
      <c r="AC55" s="4" t="s">
        <v>7</v>
      </c>
      <c r="AD55" s="4">
        <v>3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 t="s">
        <v>58</v>
      </c>
      <c r="AO55" s="4" t="s">
        <v>58</v>
      </c>
      <c r="AP55" s="4" t="s">
        <v>58</v>
      </c>
      <c r="AQ55" s="4" t="s">
        <v>58</v>
      </c>
      <c r="AR55" s="4" t="s">
        <v>58</v>
      </c>
      <c r="AS55" s="4">
        <v>0</v>
      </c>
      <c r="AT55" s="4">
        <v>0</v>
      </c>
      <c r="AU55" s="4">
        <v>0</v>
      </c>
      <c r="AV55" s="4" t="s">
        <v>58</v>
      </c>
      <c r="AW55" s="4">
        <v>0</v>
      </c>
      <c r="AX55" s="4">
        <v>0</v>
      </c>
      <c r="AY55" s="4">
        <v>0</v>
      </c>
      <c r="AZ55" s="4">
        <v>0</v>
      </c>
    </row>
    <row r="56" spans="1:52" x14ac:dyDescent="0.25">
      <c r="A56" s="4">
        <v>53</v>
      </c>
      <c r="B56" s="5">
        <v>43070</v>
      </c>
      <c r="C56" s="4" t="s">
        <v>35</v>
      </c>
      <c r="D56" s="4" t="s">
        <v>58</v>
      </c>
      <c r="E56" s="4" t="s">
        <v>58</v>
      </c>
      <c r="F56" s="4" t="s">
        <v>58</v>
      </c>
      <c r="G56" s="4" t="s">
        <v>58</v>
      </c>
      <c r="H56" s="4" t="s">
        <v>58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1</v>
      </c>
      <c r="P56" s="4" t="s">
        <v>58</v>
      </c>
      <c r="Q56" s="4" t="s">
        <v>58</v>
      </c>
      <c r="R56" s="4">
        <v>0</v>
      </c>
      <c r="S56" s="4" t="s">
        <v>58</v>
      </c>
      <c r="T56" s="4" t="s">
        <v>58</v>
      </c>
      <c r="U56" s="4">
        <v>0</v>
      </c>
      <c r="V56" s="4">
        <v>0</v>
      </c>
      <c r="W56" s="4">
        <v>0</v>
      </c>
      <c r="X56" s="8" t="s">
        <v>58</v>
      </c>
      <c r="Y56" s="8" t="s">
        <v>58</v>
      </c>
      <c r="Z56" s="4" t="s">
        <v>58</v>
      </c>
      <c r="AA56" s="4" t="s">
        <v>76</v>
      </c>
      <c r="AB56" s="4" t="s">
        <v>73</v>
      </c>
      <c r="AC56" s="4" t="s">
        <v>7</v>
      </c>
      <c r="AD56" s="4">
        <v>1</v>
      </c>
      <c r="AE56" s="4" t="s">
        <v>58</v>
      </c>
      <c r="AF56" s="4">
        <v>0</v>
      </c>
      <c r="AG56" s="4">
        <v>0</v>
      </c>
      <c r="AH56" s="4">
        <v>0</v>
      </c>
      <c r="AI56" s="4" t="s">
        <v>58</v>
      </c>
      <c r="AJ56" s="4" t="s">
        <v>58</v>
      </c>
      <c r="AK56" s="4">
        <v>0</v>
      </c>
      <c r="AL56" s="4">
        <v>0</v>
      </c>
      <c r="AM56" s="4">
        <v>0</v>
      </c>
      <c r="AN56" s="4" t="s">
        <v>58</v>
      </c>
      <c r="AO56" s="4" t="s">
        <v>58</v>
      </c>
      <c r="AP56" s="4" t="s">
        <v>58</v>
      </c>
      <c r="AQ56" s="4" t="s">
        <v>58</v>
      </c>
      <c r="AR56" s="4" t="s">
        <v>58</v>
      </c>
      <c r="AS56" s="4">
        <v>0</v>
      </c>
      <c r="AT56" s="4">
        <v>0</v>
      </c>
      <c r="AU56" s="4">
        <v>0</v>
      </c>
      <c r="AV56" s="4" t="s">
        <v>58</v>
      </c>
      <c r="AW56" s="4">
        <v>0</v>
      </c>
      <c r="AX56" s="4">
        <v>0</v>
      </c>
      <c r="AY56" s="4" t="s">
        <v>58</v>
      </c>
      <c r="AZ56" s="4" t="s">
        <v>58</v>
      </c>
    </row>
    <row r="57" spans="1:52" x14ac:dyDescent="0.25">
      <c r="A57" s="4">
        <v>54</v>
      </c>
      <c r="B57" s="5">
        <v>43101</v>
      </c>
      <c r="C57" s="4" t="s">
        <v>35</v>
      </c>
      <c r="D57" s="4">
        <v>2018</v>
      </c>
      <c r="E57" s="4">
        <v>1</v>
      </c>
      <c r="F57" s="4" t="s">
        <v>62</v>
      </c>
      <c r="G57" s="4">
        <v>1</v>
      </c>
      <c r="H57" s="4" t="s">
        <v>57</v>
      </c>
      <c r="I57" s="4">
        <v>1000</v>
      </c>
      <c r="J57" s="4">
        <v>950</v>
      </c>
      <c r="K57" s="4">
        <v>-9.5</v>
      </c>
      <c r="L57" s="4">
        <v>0</v>
      </c>
      <c r="M57" s="4">
        <v>0</v>
      </c>
      <c r="N57" s="4">
        <v>0</v>
      </c>
      <c r="O57" s="4">
        <v>1</v>
      </c>
      <c r="P57" s="4">
        <v>0</v>
      </c>
      <c r="Q57" s="4">
        <v>0</v>
      </c>
      <c r="R57" s="4">
        <v>0</v>
      </c>
      <c r="S57" s="4">
        <v>0</v>
      </c>
      <c r="T57" s="4">
        <v>1</v>
      </c>
      <c r="U57" s="4">
        <v>950</v>
      </c>
      <c r="V57" s="4">
        <v>950</v>
      </c>
      <c r="W57" s="4">
        <v>0</v>
      </c>
      <c r="X57" s="8">
        <v>0.01</v>
      </c>
      <c r="Y57" s="8" t="s">
        <v>58</v>
      </c>
      <c r="Z57" s="4">
        <v>0.01</v>
      </c>
      <c r="AA57" s="4" t="s">
        <v>75</v>
      </c>
      <c r="AB57" s="4" t="s">
        <v>73</v>
      </c>
      <c r="AC57" s="4" t="s">
        <v>7</v>
      </c>
      <c r="AD57" s="4">
        <v>1</v>
      </c>
      <c r="AE57" s="4">
        <v>0</v>
      </c>
      <c r="AF57" s="4">
        <v>950</v>
      </c>
      <c r="AG57" s="4">
        <v>0</v>
      </c>
      <c r="AH57" s="4">
        <v>0</v>
      </c>
      <c r="AI57" s="4">
        <v>0</v>
      </c>
      <c r="AJ57" s="4">
        <v>50</v>
      </c>
      <c r="AK57" s="4">
        <v>0</v>
      </c>
      <c r="AL57" s="4">
        <v>0</v>
      </c>
      <c r="AM57" s="4">
        <v>0</v>
      </c>
      <c r="AN57" s="4">
        <v>0</v>
      </c>
      <c r="AO57" s="4">
        <v>-9.5</v>
      </c>
      <c r="AP57" s="4">
        <v>0</v>
      </c>
      <c r="AQ57" s="4">
        <v>0</v>
      </c>
      <c r="AR57" s="4">
        <v>0</v>
      </c>
      <c r="AS57" s="4">
        <v>0</v>
      </c>
      <c r="AT57" s="4">
        <v>0</v>
      </c>
      <c r="AU57" s="4">
        <v>0</v>
      </c>
      <c r="AV57" s="4">
        <v>0</v>
      </c>
      <c r="AW57" s="4">
        <v>0</v>
      </c>
      <c r="AX57" s="4">
        <v>0</v>
      </c>
      <c r="AY57" s="4">
        <v>-1000</v>
      </c>
      <c r="AZ57" s="4">
        <v>9.5</v>
      </c>
    </row>
    <row r="58" spans="1:52" x14ac:dyDescent="0.25">
      <c r="A58" s="4">
        <v>55</v>
      </c>
      <c r="B58" s="5">
        <v>43132</v>
      </c>
      <c r="C58" s="4" t="s">
        <v>35</v>
      </c>
      <c r="D58" s="4" t="s">
        <v>58</v>
      </c>
      <c r="E58" s="4" t="s">
        <v>58</v>
      </c>
      <c r="F58" s="4" t="s">
        <v>62</v>
      </c>
      <c r="G58" s="4" t="s">
        <v>58</v>
      </c>
      <c r="H58" s="4" t="s">
        <v>58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1</v>
      </c>
      <c r="P58" s="4">
        <v>1000</v>
      </c>
      <c r="Q58" s="4">
        <v>950</v>
      </c>
      <c r="R58" s="4">
        <v>0</v>
      </c>
      <c r="S58" s="4">
        <v>-9.5</v>
      </c>
      <c r="T58" s="4">
        <v>1</v>
      </c>
      <c r="U58" s="4">
        <v>0</v>
      </c>
      <c r="V58" s="4">
        <v>0</v>
      </c>
      <c r="W58" s="4">
        <v>0</v>
      </c>
      <c r="X58" s="8" t="s">
        <v>58</v>
      </c>
      <c r="Y58" s="8">
        <v>0.01</v>
      </c>
      <c r="Z58" s="4">
        <v>0.01</v>
      </c>
      <c r="AA58" s="4" t="s">
        <v>74</v>
      </c>
      <c r="AB58" s="4" t="s">
        <v>73</v>
      </c>
      <c r="AC58" s="4" t="s">
        <v>7</v>
      </c>
      <c r="AD58" s="4">
        <v>1</v>
      </c>
      <c r="AE58" s="4">
        <v>0</v>
      </c>
      <c r="AF58" s="4">
        <v>0</v>
      </c>
      <c r="AG58" s="4">
        <v>-950</v>
      </c>
      <c r="AH58" s="4">
        <v>0</v>
      </c>
      <c r="AI58" s="4">
        <v>0</v>
      </c>
      <c r="AJ58" s="4">
        <v>-50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9.5</v>
      </c>
      <c r="AQ58" s="4">
        <v>0</v>
      </c>
      <c r="AR58" s="4">
        <v>0</v>
      </c>
      <c r="AS58" s="4">
        <v>0</v>
      </c>
      <c r="AT58" s="4">
        <v>0</v>
      </c>
      <c r="AU58" s="4">
        <v>0</v>
      </c>
      <c r="AV58" s="4">
        <v>0</v>
      </c>
      <c r="AW58" s="4">
        <v>0</v>
      </c>
      <c r="AX58" s="4">
        <v>0</v>
      </c>
      <c r="AY58" s="4">
        <v>1000</v>
      </c>
      <c r="AZ58" s="4">
        <v>-9.5</v>
      </c>
    </row>
    <row r="59" spans="1:52" x14ac:dyDescent="0.25">
      <c r="A59" s="4">
        <v>56</v>
      </c>
      <c r="B59" s="5">
        <v>43160</v>
      </c>
      <c r="C59" s="4" t="s">
        <v>35</v>
      </c>
      <c r="D59" s="4" t="s">
        <v>58</v>
      </c>
      <c r="E59" s="4" t="s">
        <v>58</v>
      </c>
      <c r="F59" s="4" t="s">
        <v>62</v>
      </c>
      <c r="G59" s="4" t="s">
        <v>58</v>
      </c>
      <c r="H59" s="4" t="s">
        <v>58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1</v>
      </c>
      <c r="P59" s="4">
        <v>0</v>
      </c>
      <c r="Q59" s="4">
        <v>0</v>
      </c>
      <c r="R59" s="4">
        <v>0</v>
      </c>
      <c r="S59" s="4">
        <v>0</v>
      </c>
      <c r="T59" s="4">
        <v>1</v>
      </c>
      <c r="U59" s="4">
        <v>0</v>
      </c>
      <c r="V59" s="4">
        <v>0</v>
      </c>
      <c r="W59" s="4">
        <v>0</v>
      </c>
      <c r="X59" s="8" t="s">
        <v>58</v>
      </c>
      <c r="Y59" s="8" t="s">
        <v>58</v>
      </c>
      <c r="Z59" s="4" t="s">
        <v>58</v>
      </c>
      <c r="AA59" s="4" t="s">
        <v>76</v>
      </c>
      <c r="AB59" s="4" t="s">
        <v>73</v>
      </c>
      <c r="AC59" s="4" t="s">
        <v>7</v>
      </c>
      <c r="AD59" s="4">
        <v>1</v>
      </c>
      <c r="AE59" s="4">
        <v>0</v>
      </c>
      <c r="AF59" s="4">
        <v>0</v>
      </c>
      <c r="AG59" s="4">
        <v>0</v>
      </c>
      <c r="AH59" s="4">
        <v>0</v>
      </c>
      <c r="AI59" s="4">
        <v>0</v>
      </c>
      <c r="AJ59" s="4">
        <v>0</v>
      </c>
      <c r="AK59" s="4">
        <v>0</v>
      </c>
      <c r="AL59" s="4">
        <v>0</v>
      </c>
      <c r="AM59" s="4">
        <v>0</v>
      </c>
      <c r="AN59" s="4" t="s">
        <v>58</v>
      </c>
      <c r="AO59" s="4" t="s">
        <v>58</v>
      </c>
      <c r="AP59" s="4" t="s">
        <v>58</v>
      </c>
      <c r="AQ59" s="4" t="s">
        <v>58</v>
      </c>
      <c r="AR59" s="4" t="s">
        <v>58</v>
      </c>
      <c r="AS59" s="4">
        <v>0</v>
      </c>
      <c r="AT59" s="4">
        <v>0</v>
      </c>
      <c r="AU59" s="4">
        <v>0</v>
      </c>
      <c r="AV59" s="4" t="s">
        <v>58</v>
      </c>
      <c r="AW59" s="4">
        <v>0</v>
      </c>
      <c r="AX59" s="4">
        <v>0</v>
      </c>
      <c r="AY59" s="4">
        <v>0</v>
      </c>
      <c r="AZ59" s="4">
        <v>0</v>
      </c>
    </row>
    <row r="60" spans="1:52" x14ac:dyDescent="0.25">
      <c r="A60" s="4">
        <v>57</v>
      </c>
      <c r="B60" s="5">
        <v>43070</v>
      </c>
      <c r="C60" s="4" t="s">
        <v>36</v>
      </c>
      <c r="D60" s="4" t="s">
        <v>58</v>
      </c>
      <c r="E60" s="4" t="s">
        <v>58</v>
      </c>
      <c r="F60" s="4" t="s">
        <v>58</v>
      </c>
      <c r="G60" s="4" t="s">
        <v>58</v>
      </c>
      <c r="H60" s="4" t="s">
        <v>58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1</v>
      </c>
      <c r="P60" s="4" t="s">
        <v>58</v>
      </c>
      <c r="Q60" s="4" t="s">
        <v>58</v>
      </c>
      <c r="R60" s="4">
        <v>0</v>
      </c>
      <c r="S60" s="4" t="s">
        <v>58</v>
      </c>
      <c r="T60" s="4" t="s">
        <v>58</v>
      </c>
      <c r="U60" s="4">
        <v>0</v>
      </c>
      <c r="V60" s="4">
        <v>0</v>
      </c>
      <c r="W60" s="4">
        <v>0</v>
      </c>
      <c r="X60" s="8" t="s">
        <v>58</v>
      </c>
      <c r="Y60" s="8" t="s">
        <v>58</v>
      </c>
      <c r="Z60" s="4" t="s">
        <v>58</v>
      </c>
      <c r="AA60" s="4" t="s">
        <v>76</v>
      </c>
      <c r="AB60" s="4" t="s">
        <v>73</v>
      </c>
      <c r="AC60" s="4" t="s">
        <v>7</v>
      </c>
      <c r="AD60" s="4">
        <v>1</v>
      </c>
      <c r="AE60" s="4" t="s">
        <v>58</v>
      </c>
      <c r="AF60" s="4">
        <v>0</v>
      </c>
      <c r="AG60" s="4">
        <v>0</v>
      </c>
      <c r="AH60" s="4">
        <v>0</v>
      </c>
      <c r="AI60" s="4" t="s">
        <v>58</v>
      </c>
      <c r="AJ60" s="4" t="s">
        <v>58</v>
      </c>
      <c r="AK60" s="4">
        <v>0</v>
      </c>
      <c r="AL60" s="4">
        <v>0</v>
      </c>
      <c r="AM60" s="4">
        <v>0</v>
      </c>
      <c r="AN60" s="4" t="s">
        <v>58</v>
      </c>
      <c r="AO60" s="4" t="s">
        <v>58</v>
      </c>
      <c r="AP60" s="4" t="s">
        <v>58</v>
      </c>
      <c r="AQ60" s="4" t="s">
        <v>58</v>
      </c>
      <c r="AR60" s="4" t="s">
        <v>58</v>
      </c>
      <c r="AS60" s="4">
        <v>0</v>
      </c>
      <c r="AT60" s="4">
        <v>0</v>
      </c>
      <c r="AU60" s="4">
        <v>0</v>
      </c>
      <c r="AV60" s="4" t="s">
        <v>58</v>
      </c>
      <c r="AW60" s="4">
        <v>0</v>
      </c>
      <c r="AX60" s="4">
        <v>0</v>
      </c>
      <c r="AY60" s="4" t="s">
        <v>58</v>
      </c>
      <c r="AZ60" s="4" t="s">
        <v>58</v>
      </c>
    </row>
    <row r="61" spans="1:52" x14ac:dyDescent="0.25">
      <c r="A61" s="4">
        <v>58</v>
      </c>
      <c r="B61" s="5">
        <v>43101</v>
      </c>
      <c r="C61" s="4" t="s">
        <v>36</v>
      </c>
      <c r="D61" s="4">
        <v>2018</v>
      </c>
      <c r="E61" s="4">
        <v>1</v>
      </c>
      <c r="F61" s="4" t="s">
        <v>56</v>
      </c>
      <c r="G61" s="4" t="s">
        <v>58</v>
      </c>
      <c r="H61" s="4" t="s">
        <v>57</v>
      </c>
      <c r="I61" s="4">
        <v>100</v>
      </c>
      <c r="J61" s="4">
        <v>110</v>
      </c>
      <c r="K61" s="4">
        <v>-2</v>
      </c>
      <c r="L61" s="4">
        <v>0</v>
      </c>
      <c r="M61" s="4">
        <v>0</v>
      </c>
      <c r="N61" s="4">
        <v>0</v>
      </c>
      <c r="O61" s="4">
        <v>1</v>
      </c>
      <c r="P61" s="4">
        <v>0</v>
      </c>
      <c r="Q61" s="4">
        <v>0</v>
      </c>
      <c r="R61" s="4">
        <v>0</v>
      </c>
      <c r="S61" s="4">
        <v>0</v>
      </c>
      <c r="T61" s="4">
        <v>1</v>
      </c>
      <c r="U61" s="4">
        <v>110</v>
      </c>
      <c r="V61" s="4">
        <v>110</v>
      </c>
      <c r="W61" s="4">
        <v>0</v>
      </c>
      <c r="X61" s="8">
        <v>1.8181818181818198E-2</v>
      </c>
      <c r="Y61" s="8" t="s">
        <v>58</v>
      </c>
      <c r="Z61" s="4">
        <v>0.02</v>
      </c>
      <c r="AA61" s="4" t="s">
        <v>75</v>
      </c>
      <c r="AB61" s="4" t="s">
        <v>73</v>
      </c>
      <c r="AC61" s="4" t="s">
        <v>7</v>
      </c>
      <c r="AD61" s="4">
        <v>1</v>
      </c>
      <c r="AE61" s="4">
        <v>110</v>
      </c>
      <c r="AF61" s="4">
        <v>0</v>
      </c>
      <c r="AG61" s="4">
        <v>0</v>
      </c>
      <c r="AH61" s="4">
        <v>0</v>
      </c>
      <c r="AI61" s="4">
        <v>0</v>
      </c>
      <c r="AJ61" s="4">
        <v>-10</v>
      </c>
      <c r="AK61" s="4">
        <v>0</v>
      </c>
      <c r="AL61" s="4">
        <v>0</v>
      </c>
      <c r="AM61" s="4">
        <v>0</v>
      </c>
      <c r="AN61" s="4">
        <v>-2.2000000000000002</v>
      </c>
      <c r="AO61" s="4">
        <v>0</v>
      </c>
      <c r="AP61" s="4">
        <v>0</v>
      </c>
      <c r="AQ61" s="4">
        <v>0</v>
      </c>
      <c r="AR61" s="4">
        <v>0</v>
      </c>
      <c r="AS61" s="4">
        <v>0</v>
      </c>
      <c r="AT61" s="4">
        <v>0</v>
      </c>
      <c r="AU61" s="4">
        <v>0</v>
      </c>
      <c r="AV61" s="4">
        <v>0.2</v>
      </c>
      <c r="AW61" s="4">
        <v>0</v>
      </c>
      <c r="AX61" s="4">
        <v>0</v>
      </c>
      <c r="AY61" s="4">
        <v>-100</v>
      </c>
      <c r="AZ61" s="4">
        <v>2</v>
      </c>
    </row>
    <row r="62" spans="1:52" x14ac:dyDescent="0.25">
      <c r="A62" s="4">
        <v>59</v>
      </c>
      <c r="B62" s="5">
        <v>43132</v>
      </c>
      <c r="C62" s="4" t="s">
        <v>36</v>
      </c>
      <c r="D62" s="4">
        <v>2018</v>
      </c>
      <c r="E62" s="4">
        <v>2</v>
      </c>
      <c r="F62" s="4" t="s">
        <v>56</v>
      </c>
      <c r="G62" s="4">
        <v>2</v>
      </c>
      <c r="H62" s="4" t="s">
        <v>57</v>
      </c>
      <c r="I62" s="4">
        <v>-1500</v>
      </c>
      <c r="J62" s="4">
        <v>-1500</v>
      </c>
      <c r="K62" s="4">
        <v>0.02</v>
      </c>
      <c r="L62" s="4">
        <v>0</v>
      </c>
      <c r="M62" s="4">
        <v>0</v>
      </c>
      <c r="N62" s="4">
        <v>0</v>
      </c>
      <c r="O62" s="4">
        <v>2</v>
      </c>
      <c r="P62" s="4">
        <v>100</v>
      </c>
      <c r="Q62" s="4">
        <v>110</v>
      </c>
      <c r="R62" s="4">
        <v>0</v>
      </c>
      <c r="S62" s="4">
        <v>-2</v>
      </c>
      <c r="T62" s="4">
        <v>1</v>
      </c>
      <c r="U62" s="4">
        <v>-1500</v>
      </c>
      <c r="V62" s="4">
        <v>0</v>
      </c>
      <c r="W62" s="4">
        <v>-1500</v>
      </c>
      <c r="X62" s="8">
        <v>1.3333333333333299E-5</v>
      </c>
      <c r="Y62" s="8">
        <v>1.8181818181818198E-2</v>
      </c>
      <c r="Z62" s="4">
        <v>0.02</v>
      </c>
      <c r="AA62" s="4" t="s">
        <v>74</v>
      </c>
      <c r="AB62" s="4" t="s">
        <v>77</v>
      </c>
      <c r="AC62" s="4" t="s">
        <v>7</v>
      </c>
      <c r="AD62" s="4">
        <v>2</v>
      </c>
      <c r="AE62" s="4">
        <v>-110</v>
      </c>
      <c r="AF62" s="4">
        <v>0</v>
      </c>
      <c r="AG62" s="4">
        <v>0</v>
      </c>
      <c r="AH62" s="4">
        <v>0</v>
      </c>
      <c r="AI62" s="4">
        <v>-1500</v>
      </c>
      <c r="AJ62" s="4">
        <v>10</v>
      </c>
      <c r="AK62" s="4">
        <v>0</v>
      </c>
      <c r="AL62" s="4">
        <v>-100</v>
      </c>
      <c r="AM62" s="4">
        <v>100</v>
      </c>
      <c r="AN62" s="4">
        <v>2.2000000000000002</v>
      </c>
      <c r="AO62" s="4">
        <v>0</v>
      </c>
      <c r="AP62" s="4">
        <v>0</v>
      </c>
      <c r="AQ62" s="4">
        <v>0</v>
      </c>
      <c r="AR62" s="4">
        <v>30</v>
      </c>
      <c r="AS62" s="4">
        <v>0</v>
      </c>
      <c r="AT62" s="4">
        <v>0</v>
      </c>
      <c r="AU62" s="4">
        <v>-30.18</v>
      </c>
      <c r="AV62" s="4">
        <v>0</v>
      </c>
      <c r="AW62" s="4">
        <v>2</v>
      </c>
      <c r="AX62" s="4">
        <v>-2</v>
      </c>
      <c r="AY62" s="4">
        <v>1600</v>
      </c>
      <c r="AZ62" s="4">
        <v>-2.02</v>
      </c>
    </row>
    <row r="63" spans="1:52" x14ac:dyDescent="0.25">
      <c r="A63" s="4">
        <v>60</v>
      </c>
      <c r="B63" s="5">
        <v>43160</v>
      </c>
      <c r="C63" s="4" t="s">
        <v>36</v>
      </c>
      <c r="D63" s="4" t="s">
        <v>58</v>
      </c>
      <c r="E63" s="4" t="s">
        <v>58</v>
      </c>
      <c r="F63" s="4" t="s">
        <v>56</v>
      </c>
      <c r="G63" s="4" t="s">
        <v>58</v>
      </c>
      <c r="H63" s="4" t="s">
        <v>58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2</v>
      </c>
      <c r="P63" s="4">
        <v>-1500</v>
      </c>
      <c r="Q63" s="4">
        <v>-1500</v>
      </c>
      <c r="R63" s="4">
        <v>0</v>
      </c>
      <c r="S63" s="4">
        <v>0.02</v>
      </c>
      <c r="T63" s="4">
        <v>2</v>
      </c>
      <c r="U63" s="4">
        <v>0</v>
      </c>
      <c r="V63" s="4">
        <v>0</v>
      </c>
      <c r="W63" s="4">
        <v>0</v>
      </c>
      <c r="X63" s="8" t="s">
        <v>58</v>
      </c>
      <c r="Y63" s="8">
        <v>1.3333333333333299E-5</v>
      </c>
      <c r="Z63" s="4">
        <v>0</v>
      </c>
      <c r="AA63" s="4" t="s">
        <v>75</v>
      </c>
      <c r="AB63" s="4" t="s">
        <v>73</v>
      </c>
      <c r="AC63" s="4" t="s">
        <v>7</v>
      </c>
      <c r="AD63" s="4">
        <v>2</v>
      </c>
      <c r="AE63" s="4">
        <v>0</v>
      </c>
      <c r="AF63" s="4">
        <v>0</v>
      </c>
      <c r="AG63" s="4">
        <v>0</v>
      </c>
      <c r="AH63" s="4">
        <v>0</v>
      </c>
      <c r="AI63" s="4">
        <v>1500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0</v>
      </c>
      <c r="AR63" s="4">
        <v>0</v>
      </c>
      <c r="AS63" s="4">
        <v>0</v>
      </c>
      <c r="AT63" s="4">
        <v>0</v>
      </c>
      <c r="AU63" s="4">
        <v>0</v>
      </c>
      <c r="AV63" s="4">
        <v>-0.02</v>
      </c>
      <c r="AW63" s="4">
        <v>0</v>
      </c>
      <c r="AX63" s="4">
        <v>0</v>
      </c>
      <c r="AY63" s="4">
        <v>-1500</v>
      </c>
      <c r="AZ63" s="4">
        <v>0.02</v>
      </c>
    </row>
    <row r="64" spans="1:52" x14ac:dyDescent="0.25">
      <c r="A64" s="4">
        <v>61</v>
      </c>
      <c r="B64" s="5">
        <v>43070</v>
      </c>
      <c r="C64" s="4" t="s">
        <v>37</v>
      </c>
      <c r="D64" s="4" t="s">
        <v>58</v>
      </c>
      <c r="E64" s="4" t="s">
        <v>58</v>
      </c>
      <c r="F64" s="4" t="s">
        <v>58</v>
      </c>
      <c r="G64" s="4" t="s">
        <v>58</v>
      </c>
      <c r="H64" s="4" t="s">
        <v>58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1</v>
      </c>
      <c r="P64" s="4" t="s">
        <v>58</v>
      </c>
      <c r="Q64" s="4" t="s">
        <v>58</v>
      </c>
      <c r="R64" s="4">
        <v>0</v>
      </c>
      <c r="S64" s="4" t="s">
        <v>58</v>
      </c>
      <c r="T64" s="4" t="s">
        <v>58</v>
      </c>
      <c r="U64" s="4">
        <v>0</v>
      </c>
      <c r="V64" s="4">
        <v>0</v>
      </c>
      <c r="W64" s="4">
        <v>0</v>
      </c>
      <c r="X64" s="8" t="s">
        <v>58</v>
      </c>
      <c r="Y64" s="8" t="s">
        <v>58</v>
      </c>
      <c r="Z64" s="4" t="s">
        <v>58</v>
      </c>
      <c r="AA64" s="4" t="s">
        <v>76</v>
      </c>
      <c r="AB64" s="4" t="s">
        <v>73</v>
      </c>
      <c r="AC64" s="4" t="s">
        <v>7</v>
      </c>
      <c r="AD64" s="4">
        <v>1</v>
      </c>
      <c r="AE64" s="4" t="s">
        <v>58</v>
      </c>
      <c r="AF64" s="4">
        <v>0</v>
      </c>
      <c r="AG64" s="4">
        <v>0</v>
      </c>
      <c r="AH64" s="4">
        <v>0</v>
      </c>
      <c r="AI64" s="4" t="s">
        <v>58</v>
      </c>
      <c r="AJ64" s="4" t="s">
        <v>58</v>
      </c>
      <c r="AK64" s="4">
        <v>0</v>
      </c>
      <c r="AL64" s="4">
        <v>0</v>
      </c>
      <c r="AM64" s="4">
        <v>0</v>
      </c>
      <c r="AN64" s="4" t="s">
        <v>58</v>
      </c>
      <c r="AO64" s="4" t="s">
        <v>58</v>
      </c>
      <c r="AP64" s="4" t="s">
        <v>58</v>
      </c>
      <c r="AQ64" s="4" t="s">
        <v>58</v>
      </c>
      <c r="AR64" s="4" t="s">
        <v>58</v>
      </c>
      <c r="AS64" s="4">
        <v>0</v>
      </c>
      <c r="AT64" s="4">
        <v>0</v>
      </c>
      <c r="AU64" s="4">
        <v>0</v>
      </c>
      <c r="AV64" s="4" t="s">
        <v>58</v>
      </c>
      <c r="AW64" s="4">
        <v>0</v>
      </c>
      <c r="AX64" s="4">
        <v>0</v>
      </c>
      <c r="AY64" s="4" t="s">
        <v>58</v>
      </c>
      <c r="AZ64" s="4" t="s">
        <v>58</v>
      </c>
    </row>
    <row r="65" spans="1:52" x14ac:dyDescent="0.25">
      <c r="A65" s="4">
        <v>62</v>
      </c>
      <c r="B65" s="5">
        <v>43101</v>
      </c>
      <c r="C65" s="4" t="s">
        <v>37</v>
      </c>
      <c r="D65" s="4" t="s">
        <v>58</v>
      </c>
      <c r="E65" s="4" t="s">
        <v>58</v>
      </c>
      <c r="F65" s="4" t="s">
        <v>58</v>
      </c>
      <c r="G65" s="4" t="s">
        <v>58</v>
      </c>
      <c r="H65" s="4" t="s">
        <v>58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1</v>
      </c>
      <c r="U65" s="4">
        <v>0</v>
      </c>
      <c r="V65" s="4">
        <v>0</v>
      </c>
      <c r="W65" s="4">
        <v>0</v>
      </c>
      <c r="X65" s="8" t="s">
        <v>58</v>
      </c>
      <c r="Y65" s="8" t="s">
        <v>58</v>
      </c>
      <c r="Z65" s="4" t="s">
        <v>58</v>
      </c>
      <c r="AA65" s="4" t="s">
        <v>76</v>
      </c>
      <c r="AB65" s="4" t="s">
        <v>73</v>
      </c>
      <c r="AC65" s="4" t="s">
        <v>7</v>
      </c>
      <c r="AD65" s="4">
        <v>1</v>
      </c>
      <c r="AE65" s="4" t="s">
        <v>58</v>
      </c>
      <c r="AF65" s="4">
        <v>0</v>
      </c>
      <c r="AG65" s="4">
        <v>0</v>
      </c>
      <c r="AH65" s="4">
        <v>0</v>
      </c>
      <c r="AI65" s="4" t="s">
        <v>58</v>
      </c>
      <c r="AJ65" s="4">
        <v>0</v>
      </c>
      <c r="AK65" s="4">
        <v>0</v>
      </c>
      <c r="AL65" s="4">
        <v>0</v>
      </c>
      <c r="AM65" s="4">
        <v>0</v>
      </c>
      <c r="AN65" s="4" t="s">
        <v>58</v>
      </c>
      <c r="AO65" s="4" t="s">
        <v>58</v>
      </c>
      <c r="AP65" s="4" t="s">
        <v>58</v>
      </c>
      <c r="AQ65" s="4" t="s">
        <v>58</v>
      </c>
      <c r="AR65" s="4" t="s">
        <v>58</v>
      </c>
      <c r="AS65" s="4">
        <v>0</v>
      </c>
      <c r="AT65" s="4">
        <v>0</v>
      </c>
      <c r="AU65" s="4">
        <v>0</v>
      </c>
      <c r="AV65" s="4" t="s">
        <v>58</v>
      </c>
      <c r="AW65" s="4">
        <v>0</v>
      </c>
      <c r="AX65" s="4">
        <v>0</v>
      </c>
      <c r="AY65" s="4">
        <v>0</v>
      </c>
      <c r="AZ65" s="4">
        <v>0</v>
      </c>
    </row>
    <row r="66" spans="1:52" x14ac:dyDescent="0.25">
      <c r="A66" s="4">
        <v>63</v>
      </c>
      <c r="B66" s="5">
        <v>43132</v>
      </c>
      <c r="C66" s="4" t="s">
        <v>37</v>
      </c>
      <c r="D66" s="4">
        <v>2018</v>
      </c>
      <c r="E66" s="4">
        <v>2</v>
      </c>
      <c r="F66" s="4" t="s">
        <v>62</v>
      </c>
      <c r="G66" s="4">
        <v>1</v>
      </c>
      <c r="H66" s="4" t="s">
        <v>57</v>
      </c>
      <c r="I66" s="4">
        <v>900</v>
      </c>
      <c r="J66" s="4">
        <v>950</v>
      </c>
      <c r="K66" s="4">
        <v>-9.5</v>
      </c>
      <c r="L66" s="4">
        <v>0</v>
      </c>
      <c r="M66" s="4">
        <v>0</v>
      </c>
      <c r="N66" s="4">
        <v>0</v>
      </c>
      <c r="O66" s="4">
        <v>1</v>
      </c>
      <c r="P66" s="4">
        <v>0</v>
      </c>
      <c r="Q66" s="4">
        <v>0</v>
      </c>
      <c r="R66" s="4">
        <v>0</v>
      </c>
      <c r="S66" s="4">
        <v>0</v>
      </c>
      <c r="T66" s="4">
        <v>1</v>
      </c>
      <c r="U66" s="4">
        <v>950</v>
      </c>
      <c r="V66" s="4">
        <v>950</v>
      </c>
      <c r="W66" s="4">
        <v>0</v>
      </c>
      <c r="X66" s="8">
        <v>0.01</v>
      </c>
      <c r="Y66" s="8" t="s">
        <v>58</v>
      </c>
      <c r="Z66" s="4">
        <v>0.01</v>
      </c>
      <c r="AA66" s="4" t="s">
        <v>75</v>
      </c>
      <c r="AB66" s="4" t="s">
        <v>73</v>
      </c>
      <c r="AC66" s="4" t="s">
        <v>7</v>
      </c>
      <c r="AD66" s="4">
        <v>1</v>
      </c>
      <c r="AE66" s="4">
        <v>0</v>
      </c>
      <c r="AF66" s="4">
        <v>950</v>
      </c>
      <c r="AG66" s="4">
        <v>0</v>
      </c>
      <c r="AH66" s="4">
        <v>0</v>
      </c>
      <c r="AI66" s="4">
        <v>0</v>
      </c>
      <c r="AJ66" s="4">
        <v>-50</v>
      </c>
      <c r="AK66" s="4">
        <v>0</v>
      </c>
      <c r="AL66" s="4">
        <v>0</v>
      </c>
      <c r="AM66" s="4">
        <v>0</v>
      </c>
      <c r="AN66" s="4">
        <v>0</v>
      </c>
      <c r="AO66" s="4">
        <v>-9.5</v>
      </c>
      <c r="AP66" s="4">
        <v>0</v>
      </c>
      <c r="AQ66" s="4">
        <v>0</v>
      </c>
      <c r="AR66" s="4">
        <v>0</v>
      </c>
      <c r="AS66" s="4">
        <v>0</v>
      </c>
      <c r="AT66" s="4">
        <v>0</v>
      </c>
      <c r="AU66" s="4">
        <v>0</v>
      </c>
      <c r="AV66" s="4">
        <v>0</v>
      </c>
      <c r="AW66" s="4">
        <v>0</v>
      </c>
      <c r="AX66" s="4">
        <v>0</v>
      </c>
      <c r="AY66" s="4">
        <v>-900</v>
      </c>
      <c r="AZ66" s="4">
        <v>9.5</v>
      </c>
    </row>
    <row r="67" spans="1:52" x14ac:dyDescent="0.25">
      <c r="A67" s="4">
        <v>64</v>
      </c>
      <c r="B67" s="5">
        <v>43160</v>
      </c>
      <c r="C67" s="4" t="s">
        <v>37</v>
      </c>
      <c r="D67" s="4" t="s">
        <v>58</v>
      </c>
      <c r="E67" s="4" t="s">
        <v>58</v>
      </c>
      <c r="F67" s="4" t="s">
        <v>62</v>
      </c>
      <c r="G67" s="4" t="s">
        <v>58</v>
      </c>
      <c r="H67" s="4" t="s">
        <v>58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1</v>
      </c>
      <c r="P67" s="4">
        <v>900</v>
      </c>
      <c r="Q67" s="4">
        <v>950</v>
      </c>
      <c r="R67" s="4">
        <v>0</v>
      </c>
      <c r="S67" s="4">
        <v>-9.5</v>
      </c>
      <c r="T67" s="4">
        <v>1</v>
      </c>
      <c r="U67" s="4">
        <v>0</v>
      </c>
      <c r="V67" s="4">
        <v>0</v>
      </c>
      <c r="W67" s="4">
        <v>0</v>
      </c>
      <c r="X67" s="8" t="s">
        <v>58</v>
      </c>
      <c r="Y67" s="8">
        <v>0.01</v>
      </c>
      <c r="Z67" s="4">
        <v>0.01</v>
      </c>
      <c r="AA67" s="4" t="s">
        <v>74</v>
      </c>
      <c r="AB67" s="4" t="s">
        <v>73</v>
      </c>
      <c r="AC67" s="4" t="s">
        <v>7</v>
      </c>
      <c r="AD67" s="4">
        <v>1</v>
      </c>
      <c r="AE67" s="4">
        <v>0</v>
      </c>
      <c r="AF67" s="4">
        <v>0</v>
      </c>
      <c r="AG67" s="4">
        <v>-950</v>
      </c>
      <c r="AH67" s="4">
        <v>0</v>
      </c>
      <c r="AI67" s="4">
        <v>0</v>
      </c>
      <c r="AJ67" s="4">
        <v>50</v>
      </c>
      <c r="AK67" s="4">
        <v>0</v>
      </c>
      <c r="AL67" s="4">
        <v>0</v>
      </c>
      <c r="AM67" s="4">
        <v>0</v>
      </c>
      <c r="AN67" s="4">
        <v>0</v>
      </c>
      <c r="AO67" s="4">
        <v>0</v>
      </c>
      <c r="AP67" s="4">
        <v>9.5</v>
      </c>
      <c r="AQ67" s="4">
        <v>0</v>
      </c>
      <c r="AR67" s="4">
        <v>0</v>
      </c>
      <c r="AS67" s="4">
        <v>0</v>
      </c>
      <c r="AT67" s="4">
        <v>0</v>
      </c>
      <c r="AU67" s="4">
        <v>0</v>
      </c>
      <c r="AV67" s="4">
        <v>0</v>
      </c>
      <c r="AW67" s="4">
        <v>0</v>
      </c>
      <c r="AX67" s="4">
        <v>0</v>
      </c>
      <c r="AY67" s="4">
        <v>900</v>
      </c>
      <c r="AZ67" s="4">
        <v>-9.5</v>
      </c>
    </row>
    <row r="68" spans="1:52" x14ac:dyDescent="0.25">
      <c r="A68" s="4">
        <v>65</v>
      </c>
      <c r="B68" s="5">
        <v>43070</v>
      </c>
      <c r="C68" s="4" t="s">
        <v>38</v>
      </c>
      <c r="D68" s="4" t="s">
        <v>58</v>
      </c>
      <c r="E68" s="4" t="s">
        <v>58</v>
      </c>
      <c r="F68" s="4" t="s">
        <v>58</v>
      </c>
      <c r="G68" s="4" t="s">
        <v>58</v>
      </c>
      <c r="H68" s="4" t="s">
        <v>58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1</v>
      </c>
      <c r="P68" s="4" t="s">
        <v>58</v>
      </c>
      <c r="Q68" s="4" t="s">
        <v>58</v>
      </c>
      <c r="R68" s="4">
        <v>0</v>
      </c>
      <c r="S68" s="4" t="s">
        <v>58</v>
      </c>
      <c r="T68" s="4" t="s">
        <v>58</v>
      </c>
      <c r="U68" s="4">
        <v>0</v>
      </c>
      <c r="V68" s="4">
        <v>0</v>
      </c>
      <c r="W68" s="4">
        <v>0</v>
      </c>
      <c r="X68" s="8" t="s">
        <v>58</v>
      </c>
      <c r="Y68" s="8" t="s">
        <v>58</v>
      </c>
      <c r="Z68" s="4" t="s">
        <v>58</v>
      </c>
      <c r="AA68" s="4" t="s">
        <v>76</v>
      </c>
      <c r="AB68" s="4" t="s">
        <v>73</v>
      </c>
      <c r="AC68" s="4" t="s">
        <v>7</v>
      </c>
      <c r="AD68" s="4">
        <v>1</v>
      </c>
      <c r="AE68" s="4" t="s">
        <v>58</v>
      </c>
      <c r="AF68" s="4">
        <v>0</v>
      </c>
      <c r="AG68" s="4">
        <v>0</v>
      </c>
      <c r="AH68" s="4">
        <v>0</v>
      </c>
      <c r="AI68" s="4" t="s">
        <v>58</v>
      </c>
      <c r="AJ68" s="4" t="s">
        <v>58</v>
      </c>
      <c r="AK68" s="4">
        <v>0</v>
      </c>
      <c r="AL68" s="4">
        <v>0</v>
      </c>
      <c r="AM68" s="4">
        <v>0</v>
      </c>
      <c r="AN68" s="4" t="s">
        <v>58</v>
      </c>
      <c r="AO68" s="4" t="s">
        <v>58</v>
      </c>
      <c r="AP68" s="4" t="s">
        <v>58</v>
      </c>
      <c r="AQ68" s="4" t="s">
        <v>58</v>
      </c>
      <c r="AR68" s="4" t="s">
        <v>58</v>
      </c>
      <c r="AS68" s="4">
        <v>0</v>
      </c>
      <c r="AT68" s="4">
        <v>0</v>
      </c>
      <c r="AU68" s="4">
        <v>0</v>
      </c>
      <c r="AV68" s="4" t="s">
        <v>58</v>
      </c>
      <c r="AW68" s="4">
        <v>0</v>
      </c>
      <c r="AX68" s="4">
        <v>0</v>
      </c>
      <c r="AY68" s="4" t="s">
        <v>58</v>
      </c>
      <c r="AZ68" s="4" t="s">
        <v>58</v>
      </c>
    </row>
    <row r="69" spans="1:52" x14ac:dyDescent="0.25">
      <c r="A69" s="4">
        <v>66</v>
      </c>
      <c r="B69" s="5">
        <v>43101</v>
      </c>
      <c r="C69" s="4" t="s">
        <v>38</v>
      </c>
      <c r="D69" s="4">
        <v>2018</v>
      </c>
      <c r="E69" s="4">
        <v>1</v>
      </c>
      <c r="F69" s="4" t="s">
        <v>56</v>
      </c>
      <c r="G69" s="4">
        <v>3</v>
      </c>
      <c r="H69" s="4" t="s">
        <v>70</v>
      </c>
      <c r="I69" s="4">
        <v>1000</v>
      </c>
      <c r="J69" s="4">
        <v>450</v>
      </c>
      <c r="K69" s="4">
        <v>-225</v>
      </c>
      <c r="L69" s="4">
        <v>0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0</v>
      </c>
      <c r="T69" s="4">
        <v>1</v>
      </c>
      <c r="U69" s="4">
        <v>450</v>
      </c>
      <c r="V69" s="4">
        <v>450</v>
      </c>
      <c r="W69" s="4">
        <v>0</v>
      </c>
      <c r="X69" s="8">
        <v>0.5</v>
      </c>
      <c r="Y69" s="8" t="s">
        <v>58</v>
      </c>
      <c r="Z69" s="4">
        <v>0.5</v>
      </c>
      <c r="AA69" s="4" t="s">
        <v>75</v>
      </c>
      <c r="AB69" s="4" t="s">
        <v>77</v>
      </c>
      <c r="AC69" s="4" t="s">
        <v>28</v>
      </c>
      <c r="AD69" s="4">
        <v>1</v>
      </c>
      <c r="AE69" s="4">
        <v>450</v>
      </c>
      <c r="AF69" s="4">
        <v>0</v>
      </c>
      <c r="AG69" s="4">
        <v>0</v>
      </c>
      <c r="AH69" s="4">
        <v>0</v>
      </c>
      <c r="AI69" s="4">
        <v>0</v>
      </c>
      <c r="AJ69" s="4">
        <v>550</v>
      </c>
      <c r="AK69" s="4">
        <v>0</v>
      </c>
      <c r="AL69" s="4">
        <v>-450</v>
      </c>
      <c r="AM69" s="4">
        <v>450</v>
      </c>
      <c r="AN69" s="4">
        <v>-225</v>
      </c>
      <c r="AO69" s="4">
        <v>0</v>
      </c>
      <c r="AP69" s="4">
        <v>0</v>
      </c>
      <c r="AQ69" s="4">
        <v>0</v>
      </c>
      <c r="AR69" s="4">
        <v>0</v>
      </c>
      <c r="AS69" s="4">
        <v>0</v>
      </c>
      <c r="AT69" s="4">
        <v>0</v>
      </c>
      <c r="AU69" s="4">
        <v>0</v>
      </c>
      <c r="AV69" s="4">
        <v>0</v>
      </c>
      <c r="AW69" s="4">
        <v>225</v>
      </c>
      <c r="AX69" s="4">
        <v>-225</v>
      </c>
      <c r="AY69" s="4">
        <v>-1000</v>
      </c>
      <c r="AZ69" s="4">
        <v>225</v>
      </c>
    </row>
    <row r="70" spans="1:52" x14ac:dyDescent="0.25">
      <c r="A70" s="4">
        <v>67</v>
      </c>
      <c r="B70" s="5">
        <v>43132</v>
      </c>
      <c r="C70" s="4" t="s">
        <v>38</v>
      </c>
      <c r="D70" s="4">
        <v>2018</v>
      </c>
      <c r="E70" s="4">
        <v>2</v>
      </c>
      <c r="F70" s="4" t="s">
        <v>56</v>
      </c>
      <c r="G70" s="4">
        <v>2</v>
      </c>
      <c r="H70" s="4" t="s">
        <v>57</v>
      </c>
      <c r="I70" s="4">
        <v>500</v>
      </c>
      <c r="J70" s="4">
        <v>550</v>
      </c>
      <c r="K70" s="4">
        <v>-55</v>
      </c>
      <c r="L70" s="4">
        <v>0</v>
      </c>
      <c r="M70" s="4">
        <v>0</v>
      </c>
      <c r="N70" s="4">
        <v>0</v>
      </c>
      <c r="O70" s="4">
        <v>2</v>
      </c>
      <c r="P70" s="4">
        <v>1000</v>
      </c>
      <c r="Q70" s="4">
        <v>450</v>
      </c>
      <c r="R70" s="4">
        <v>0</v>
      </c>
      <c r="S70" s="4">
        <v>-225</v>
      </c>
      <c r="T70" s="4">
        <v>5</v>
      </c>
      <c r="U70" s="4">
        <v>550</v>
      </c>
      <c r="V70" s="4">
        <v>550</v>
      </c>
      <c r="W70" s="4">
        <v>0</v>
      </c>
      <c r="X70" s="8">
        <v>0.1</v>
      </c>
      <c r="Y70" s="8">
        <v>0.5</v>
      </c>
      <c r="Z70" s="4">
        <v>0.5</v>
      </c>
      <c r="AA70" s="4" t="s">
        <v>75</v>
      </c>
      <c r="AB70" s="4" t="s">
        <v>78</v>
      </c>
      <c r="AC70" s="4" t="s">
        <v>7</v>
      </c>
      <c r="AD70" s="4">
        <v>2</v>
      </c>
      <c r="AE70" s="4">
        <v>100</v>
      </c>
      <c r="AF70" s="4">
        <v>0</v>
      </c>
      <c r="AG70" s="4">
        <v>0</v>
      </c>
      <c r="AH70" s="4">
        <v>0</v>
      </c>
      <c r="AI70" s="4">
        <v>0</v>
      </c>
      <c r="AJ70" s="4">
        <v>-600</v>
      </c>
      <c r="AK70" s="4">
        <v>0</v>
      </c>
      <c r="AL70" s="4">
        <v>-1000</v>
      </c>
      <c r="AM70" s="4">
        <v>1000</v>
      </c>
      <c r="AN70" s="4">
        <v>-50</v>
      </c>
      <c r="AO70" s="4">
        <v>0</v>
      </c>
      <c r="AP70" s="4">
        <v>0</v>
      </c>
      <c r="AQ70" s="4">
        <v>0</v>
      </c>
      <c r="AR70" s="4">
        <v>0</v>
      </c>
      <c r="AS70" s="4">
        <v>0</v>
      </c>
      <c r="AT70" s="4">
        <v>0</v>
      </c>
      <c r="AU70" s="4">
        <v>220</v>
      </c>
      <c r="AV70" s="4">
        <v>0</v>
      </c>
      <c r="AW70" s="4">
        <v>225</v>
      </c>
      <c r="AX70" s="4">
        <v>-225</v>
      </c>
      <c r="AY70" s="4">
        <v>500</v>
      </c>
      <c r="AZ70" s="4">
        <v>-170</v>
      </c>
    </row>
    <row r="71" spans="1:52" x14ac:dyDescent="0.25">
      <c r="A71" s="4">
        <v>68</v>
      </c>
      <c r="B71" s="5">
        <v>43160</v>
      </c>
      <c r="C71" s="4" t="s">
        <v>38</v>
      </c>
      <c r="D71" s="4" t="s">
        <v>58</v>
      </c>
      <c r="E71" s="4" t="s">
        <v>58</v>
      </c>
      <c r="F71" s="4" t="s">
        <v>56</v>
      </c>
      <c r="G71" s="4" t="s">
        <v>58</v>
      </c>
      <c r="H71" s="4" t="s">
        <v>58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0</v>
      </c>
      <c r="O71" s="4">
        <v>2</v>
      </c>
      <c r="P71" s="4">
        <v>500</v>
      </c>
      <c r="Q71" s="4">
        <v>550</v>
      </c>
      <c r="R71" s="4">
        <v>0</v>
      </c>
      <c r="S71" s="4">
        <v>-55</v>
      </c>
      <c r="T71" s="4">
        <v>2</v>
      </c>
      <c r="U71" s="4">
        <v>0</v>
      </c>
      <c r="V71" s="4">
        <v>0</v>
      </c>
      <c r="W71" s="4">
        <v>0</v>
      </c>
      <c r="X71" s="8" t="s">
        <v>58</v>
      </c>
      <c r="Y71" s="8">
        <v>0.1</v>
      </c>
      <c r="Z71" s="4">
        <v>0.1</v>
      </c>
      <c r="AA71" s="4" t="s">
        <v>74</v>
      </c>
      <c r="AB71" s="4" t="s">
        <v>73</v>
      </c>
      <c r="AC71" s="4" t="s">
        <v>7</v>
      </c>
      <c r="AD71" s="4">
        <v>2</v>
      </c>
      <c r="AE71" s="4">
        <v>-550</v>
      </c>
      <c r="AF71" s="4">
        <v>0</v>
      </c>
      <c r="AG71" s="4">
        <v>0</v>
      </c>
      <c r="AH71" s="4">
        <v>0</v>
      </c>
      <c r="AI71" s="4">
        <v>0</v>
      </c>
      <c r="AJ71" s="4">
        <v>50</v>
      </c>
      <c r="AK71" s="4">
        <v>0</v>
      </c>
      <c r="AL71" s="4">
        <v>0</v>
      </c>
      <c r="AM71" s="4">
        <v>0</v>
      </c>
      <c r="AN71" s="4">
        <v>55</v>
      </c>
      <c r="AO71" s="4">
        <v>0</v>
      </c>
      <c r="AP71" s="4">
        <v>0</v>
      </c>
      <c r="AQ71" s="4">
        <v>0</v>
      </c>
      <c r="AR71" s="4">
        <v>0</v>
      </c>
      <c r="AS71" s="4">
        <v>0</v>
      </c>
      <c r="AT71" s="4">
        <v>0</v>
      </c>
      <c r="AU71" s="4">
        <v>0</v>
      </c>
      <c r="AV71" s="4">
        <v>0</v>
      </c>
      <c r="AW71" s="4">
        <v>0</v>
      </c>
      <c r="AX71" s="4">
        <v>0</v>
      </c>
      <c r="AY71" s="4">
        <v>500</v>
      </c>
      <c r="AZ71" s="4">
        <v>-55</v>
      </c>
    </row>
    <row r="72" spans="1:52" x14ac:dyDescent="0.25">
      <c r="A72" s="4">
        <v>69</v>
      </c>
      <c r="B72" s="5">
        <v>43070</v>
      </c>
      <c r="C72" s="4" t="s">
        <v>39</v>
      </c>
      <c r="D72" s="4" t="s">
        <v>58</v>
      </c>
      <c r="E72" s="4" t="s">
        <v>58</v>
      </c>
      <c r="F72" s="4" t="s">
        <v>58</v>
      </c>
      <c r="G72" s="4" t="s">
        <v>58</v>
      </c>
      <c r="H72" s="4" t="s">
        <v>58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1</v>
      </c>
      <c r="P72" s="4" t="s">
        <v>58</v>
      </c>
      <c r="Q72" s="4" t="s">
        <v>58</v>
      </c>
      <c r="R72" s="4">
        <v>0</v>
      </c>
      <c r="S72" s="4" t="s">
        <v>58</v>
      </c>
      <c r="T72" s="4" t="s">
        <v>58</v>
      </c>
      <c r="U72" s="4">
        <v>0</v>
      </c>
      <c r="V72" s="4">
        <v>0</v>
      </c>
      <c r="W72" s="4">
        <v>0</v>
      </c>
      <c r="X72" s="8" t="s">
        <v>58</v>
      </c>
      <c r="Y72" s="8" t="s">
        <v>58</v>
      </c>
      <c r="Z72" s="4" t="s">
        <v>58</v>
      </c>
      <c r="AA72" s="4" t="s">
        <v>76</v>
      </c>
      <c r="AB72" s="4" t="s">
        <v>73</v>
      </c>
      <c r="AC72" s="4" t="s">
        <v>7</v>
      </c>
      <c r="AD72" s="4">
        <v>1</v>
      </c>
      <c r="AE72" s="4" t="s">
        <v>58</v>
      </c>
      <c r="AF72" s="4">
        <v>0</v>
      </c>
      <c r="AG72" s="4">
        <v>0</v>
      </c>
      <c r="AH72" s="4">
        <v>0</v>
      </c>
      <c r="AI72" s="4" t="s">
        <v>58</v>
      </c>
      <c r="AJ72" s="4" t="s">
        <v>58</v>
      </c>
      <c r="AK72" s="4">
        <v>0</v>
      </c>
      <c r="AL72" s="4">
        <v>0</v>
      </c>
      <c r="AM72" s="4">
        <v>0</v>
      </c>
      <c r="AN72" s="4" t="s">
        <v>58</v>
      </c>
      <c r="AO72" s="4" t="s">
        <v>58</v>
      </c>
      <c r="AP72" s="4" t="s">
        <v>58</v>
      </c>
      <c r="AQ72" s="4" t="s">
        <v>58</v>
      </c>
      <c r="AR72" s="4" t="s">
        <v>58</v>
      </c>
      <c r="AS72" s="4">
        <v>0</v>
      </c>
      <c r="AT72" s="4">
        <v>0</v>
      </c>
      <c r="AU72" s="4">
        <v>0</v>
      </c>
      <c r="AV72" s="4" t="s">
        <v>58</v>
      </c>
      <c r="AW72" s="4">
        <v>0</v>
      </c>
      <c r="AX72" s="4">
        <v>0</v>
      </c>
      <c r="AY72" s="4" t="s">
        <v>58</v>
      </c>
      <c r="AZ72" s="4" t="s">
        <v>58</v>
      </c>
    </row>
    <row r="73" spans="1:52" x14ac:dyDescent="0.25">
      <c r="A73" s="4">
        <v>70</v>
      </c>
      <c r="B73" s="5">
        <v>43101</v>
      </c>
      <c r="C73" s="4" t="s">
        <v>39</v>
      </c>
      <c r="D73" s="4">
        <v>2018</v>
      </c>
      <c r="E73" s="4">
        <v>1</v>
      </c>
      <c r="F73" s="4" t="s">
        <v>62</v>
      </c>
      <c r="G73" s="4">
        <v>3</v>
      </c>
      <c r="H73" s="4" t="s">
        <v>70</v>
      </c>
      <c r="I73" s="4">
        <v>1000</v>
      </c>
      <c r="J73" s="4">
        <v>1000</v>
      </c>
      <c r="K73" s="4">
        <v>-500</v>
      </c>
      <c r="L73" s="4">
        <v>0</v>
      </c>
      <c r="M73" s="4">
        <v>0</v>
      </c>
      <c r="N73" s="4">
        <v>0</v>
      </c>
      <c r="O73" s="4">
        <v>5</v>
      </c>
      <c r="P73" s="4">
        <v>0</v>
      </c>
      <c r="Q73" s="4">
        <v>0</v>
      </c>
      <c r="R73" s="4">
        <v>0</v>
      </c>
      <c r="S73" s="4">
        <v>0</v>
      </c>
      <c r="T73" s="4">
        <v>1</v>
      </c>
      <c r="U73" s="4">
        <v>1000</v>
      </c>
      <c r="V73" s="4">
        <v>1000</v>
      </c>
      <c r="W73" s="4">
        <v>0</v>
      </c>
      <c r="X73" s="8">
        <v>0.5</v>
      </c>
      <c r="Y73" s="8" t="s">
        <v>58</v>
      </c>
      <c r="Z73" s="4">
        <v>0.5</v>
      </c>
      <c r="AA73" s="4" t="s">
        <v>75</v>
      </c>
      <c r="AB73" s="4" t="s">
        <v>77</v>
      </c>
      <c r="AC73" s="4" t="s">
        <v>28</v>
      </c>
      <c r="AD73" s="4">
        <v>1</v>
      </c>
      <c r="AE73" s="4">
        <v>0</v>
      </c>
      <c r="AF73" s="4">
        <v>1000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4">
        <v>-1000</v>
      </c>
      <c r="AM73" s="4">
        <v>1000</v>
      </c>
      <c r="AN73" s="4">
        <v>0</v>
      </c>
      <c r="AO73" s="4">
        <v>-500</v>
      </c>
      <c r="AP73" s="4">
        <v>0</v>
      </c>
      <c r="AQ73" s="4">
        <v>0</v>
      </c>
      <c r="AR73" s="4">
        <v>0</v>
      </c>
      <c r="AS73" s="4">
        <v>0</v>
      </c>
      <c r="AT73" s="4">
        <v>0</v>
      </c>
      <c r="AU73" s="4">
        <v>0</v>
      </c>
      <c r="AV73" s="4">
        <v>0</v>
      </c>
      <c r="AW73" s="4">
        <v>500</v>
      </c>
      <c r="AX73" s="4">
        <v>-500</v>
      </c>
      <c r="AY73" s="4">
        <v>-1000</v>
      </c>
      <c r="AZ73" s="4">
        <v>500</v>
      </c>
    </row>
    <row r="74" spans="1:52" x14ac:dyDescent="0.25">
      <c r="A74" s="4">
        <v>71</v>
      </c>
      <c r="B74" s="5">
        <v>43132</v>
      </c>
      <c r="C74" s="4" t="s">
        <v>39</v>
      </c>
      <c r="D74" s="4">
        <v>2018</v>
      </c>
      <c r="E74" s="4">
        <v>2</v>
      </c>
      <c r="F74" s="4" t="s">
        <v>62</v>
      </c>
      <c r="G74" s="4">
        <v>2</v>
      </c>
      <c r="H74" s="4" t="s">
        <v>57</v>
      </c>
      <c r="I74" s="4">
        <v>500</v>
      </c>
      <c r="J74" s="4">
        <v>550</v>
      </c>
      <c r="K74" s="4">
        <v>-110</v>
      </c>
      <c r="L74" s="4">
        <v>0</v>
      </c>
      <c r="M74" s="4">
        <v>0</v>
      </c>
      <c r="N74" s="4">
        <v>0</v>
      </c>
      <c r="O74" s="4">
        <v>2</v>
      </c>
      <c r="P74" s="4">
        <v>1000</v>
      </c>
      <c r="Q74" s="4">
        <v>1000</v>
      </c>
      <c r="R74" s="4">
        <v>0</v>
      </c>
      <c r="S74" s="4">
        <v>-500</v>
      </c>
      <c r="T74" s="4">
        <v>5</v>
      </c>
      <c r="U74" s="4">
        <v>550</v>
      </c>
      <c r="V74" s="4">
        <v>550</v>
      </c>
      <c r="W74" s="4">
        <v>0</v>
      </c>
      <c r="X74" s="8">
        <v>0.2</v>
      </c>
      <c r="Y74" s="8">
        <v>0.5</v>
      </c>
      <c r="Z74" s="4">
        <v>0.5</v>
      </c>
      <c r="AA74" s="4" t="s">
        <v>74</v>
      </c>
      <c r="AB74" s="4" t="s">
        <v>78</v>
      </c>
      <c r="AC74" s="4" t="s">
        <v>28</v>
      </c>
      <c r="AD74" s="4">
        <v>5</v>
      </c>
      <c r="AE74" s="4">
        <v>0</v>
      </c>
      <c r="AF74" s="4">
        <v>0</v>
      </c>
      <c r="AG74" s="4">
        <v>0</v>
      </c>
      <c r="AH74" s="4">
        <v>-450</v>
      </c>
      <c r="AI74" s="4">
        <v>0</v>
      </c>
      <c r="AJ74" s="4">
        <v>-50</v>
      </c>
      <c r="AK74" s="4">
        <v>0</v>
      </c>
      <c r="AL74" s="4">
        <v>-550</v>
      </c>
      <c r="AM74" s="4">
        <v>550</v>
      </c>
      <c r="AN74" s="4">
        <v>0</v>
      </c>
      <c r="AO74" s="4">
        <v>0</v>
      </c>
      <c r="AP74" s="4">
        <v>0</v>
      </c>
      <c r="AQ74" s="4">
        <v>225</v>
      </c>
      <c r="AR74" s="4">
        <v>0</v>
      </c>
      <c r="AS74" s="4">
        <v>0</v>
      </c>
      <c r="AT74" s="4">
        <v>0</v>
      </c>
      <c r="AU74" s="4">
        <v>165</v>
      </c>
      <c r="AV74" s="4">
        <v>0</v>
      </c>
      <c r="AW74" s="4">
        <v>275</v>
      </c>
      <c r="AX74" s="4">
        <v>-275</v>
      </c>
      <c r="AY74" s="4">
        <v>500</v>
      </c>
      <c r="AZ74" s="4">
        <v>-390</v>
      </c>
    </row>
    <row r="75" spans="1:52" x14ac:dyDescent="0.25">
      <c r="A75" s="4">
        <v>72</v>
      </c>
      <c r="B75" s="5">
        <v>43160</v>
      </c>
      <c r="C75" s="4" t="s">
        <v>39</v>
      </c>
      <c r="D75" s="4" t="s">
        <v>58</v>
      </c>
      <c r="E75" s="4" t="s">
        <v>58</v>
      </c>
      <c r="F75" s="4" t="s">
        <v>62</v>
      </c>
      <c r="G75" s="4" t="s">
        <v>58</v>
      </c>
      <c r="H75" s="4" t="s">
        <v>58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2</v>
      </c>
      <c r="P75" s="4">
        <v>500</v>
      </c>
      <c r="Q75" s="4">
        <v>550</v>
      </c>
      <c r="R75" s="4">
        <v>0</v>
      </c>
      <c r="S75" s="4">
        <v>-110</v>
      </c>
      <c r="T75" s="4">
        <v>2</v>
      </c>
      <c r="U75" s="4">
        <v>0</v>
      </c>
      <c r="V75" s="4">
        <v>0</v>
      </c>
      <c r="W75" s="4">
        <v>0</v>
      </c>
      <c r="X75" s="8" t="s">
        <v>58</v>
      </c>
      <c r="Y75" s="8">
        <v>0.2</v>
      </c>
      <c r="Z75" s="4">
        <v>0.2</v>
      </c>
      <c r="AA75" s="4" t="s">
        <v>74</v>
      </c>
      <c r="AB75" s="4" t="s">
        <v>73</v>
      </c>
      <c r="AC75" s="4" t="s">
        <v>7</v>
      </c>
      <c r="AD75" s="4">
        <v>2</v>
      </c>
      <c r="AE75" s="4">
        <v>0</v>
      </c>
      <c r="AF75" s="4">
        <v>0</v>
      </c>
      <c r="AG75" s="4">
        <v>-550</v>
      </c>
      <c r="AH75" s="4">
        <v>0</v>
      </c>
      <c r="AI75" s="4">
        <v>0</v>
      </c>
      <c r="AJ75" s="4">
        <v>50</v>
      </c>
      <c r="AK75" s="4">
        <v>0</v>
      </c>
      <c r="AL75" s="4">
        <v>0</v>
      </c>
      <c r="AM75" s="4">
        <v>0</v>
      </c>
      <c r="AN75" s="4">
        <v>0</v>
      </c>
      <c r="AO75" s="4">
        <v>0</v>
      </c>
      <c r="AP75" s="4">
        <v>110</v>
      </c>
      <c r="AQ75" s="4">
        <v>0</v>
      </c>
      <c r="AR75" s="4">
        <v>0</v>
      </c>
      <c r="AS75" s="4">
        <v>0</v>
      </c>
      <c r="AT75" s="4">
        <v>0</v>
      </c>
      <c r="AU75" s="4">
        <v>0</v>
      </c>
      <c r="AV75" s="4">
        <v>0</v>
      </c>
      <c r="AW75" s="4">
        <v>0</v>
      </c>
      <c r="AX75" s="4">
        <v>0</v>
      </c>
      <c r="AY75" s="4">
        <v>500</v>
      </c>
      <c r="AZ75" s="4">
        <v>-110</v>
      </c>
    </row>
    <row r="76" spans="1:52" x14ac:dyDescent="0.25">
      <c r="A76" s="4">
        <v>73</v>
      </c>
      <c r="B76" s="5">
        <v>43070</v>
      </c>
      <c r="C76" s="4" t="s">
        <v>40</v>
      </c>
      <c r="D76" s="4" t="s">
        <v>58</v>
      </c>
      <c r="E76" s="4" t="s">
        <v>58</v>
      </c>
      <c r="F76" s="4" t="s">
        <v>58</v>
      </c>
      <c r="G76" s="4" t="s">
        <v>58</v>
      </c>
      <c r="H76" s="4" t="s">
        <v>58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1</v>
      </c>
      <c r="P76" s="4" t="s">
        <v>58</v>
      </c>
      <c r="Q76" s="4" t="s">
        <v>58</v>
      </c>
      <c r="R76" s="4">
        <v>0</v>
      </c>
      <c r="S76" s="4" t="s">
        <v>58</v>
      </c>
      <c r="T76" s="4" t="s">
        <v>58</v>
      </c>
      <c r="U76" s="4">
        <v>0</v>
      </c>
      <c r="V76" s="4">
        <v>0</v>
      </c>
      <c r="W76" s="4">
        <v>0</v>
      </c>
      <c r="X76" s="8" t="s">
        <v>58</v>
      </c>
      <c r="Y76" s="8" t="s">
        <v>58</v>
      </c>
      <c r="Z76" s="4" t="s">
        <v>58</v>
      </c>
      <c r="AA76" s="4" t="s">
        <v>76</v>
      </c>
      <c r="AB76" s="4" t="s">
        <v>73</v>
      </c>
      <c r="AC76" s="4" t="s">
        <v>7</v>
      </c>
      <c r="AD76" s="4">
        <v>1</v>
      </c>
      <c r="AE76" s="4" t="s">
        <v>58</v>
      </c>
      <c r="AF76" s="4">
        <v>0</v>
      </c>
      <c r="AG76" s="4">
        <v>0</v>
      </c>
      <c r="AH76" s="4">
        <v>0</v>
      </c>
      <c r="AI76" s="4" t="s">
        <v>58</v>
      </c>
      <c r="AJ76" s="4" t="s">
        <v>58</v>
      </c>
      <c r="AK76" s="4">
        <v>0</v>
      </c>
      <c r="AL76" s="4">
        <v>0</v>
      </c>
      <c r="AM76" s="4">
        <v>0</v>
      </c>
      <c r="AN76" s="4" t="s">
        <v>58</v>
      </c>
      <c r="AO76" s="4" t="s">
        <v>58</v>
      </c>
      <c r="AP76" s="4" t="s">
        <v>58</v>
      </c>
      <c r="AQ76" s="4" t="s">
        <v>58</v>
      </c>
      <c r="AR76" s="4" t="s">
        <v>58</v>
      </c>
      <c r="AS76" s="4">
        <v>0</v>
      </c>
      <c r="AT76" s="4">
        <v>0</v>
      </c>
      <c r="AU76" s="4">
        <v>0</v>
      </c>
      <c r="AV76" s="4" t="s">
        <v>58</v>
      </c>
      <c r="AW76" s="4">
        <v>0</v>
      </c>
      <c r="AX76" s="4">
        <v>0</v>
      </c>
      <c r="AY76" s="4" t="s">
        <v>58</v>
      </c>
      <c r="AZ76" s="4" t="s">
        <v>58</v>
      </c>
    </row>
    <row r="77" spans="1:52" x14ac:dyDescent="0.25">
      <c r="A77" s="4">
        <v>74</v>
      </c>
      <c r="B77" s="5">
        <v>43101</v>
      </c>
      <c r="C77" s="4" t="s">
        <v>40</v>
      </c>
      <c r="D77" s="4">
        <v>2018</v>
      </c>
      <c r="E77" s="4">
        <v>1</v>
      </c>
      <c r="F77" s="4" t="s">
        <v>56</v>
      </c>
      <c r="G77" s="4">
        <v>3</v>
      </c>
      <c r="H77" s="4" t="s">
        <v>57</v>
      </c>
      <c r="I77" s="4">
        <v>1250</v>
      </c>
      <c r="J77" s="4">
        <v>1250</v>
      </c>
      <c r="K77" s="4">
        <v>0.02</v>
      </c>
      <c r="L77" s="4">
        <v>0</v>
      </c>
      <c r="M77" s="4">
        <v>0</v>
      </c>
      <c r="N77" s="4">
        <v>0</v>
      </c>
      <c r="O77" s="4">
        <v>3</v>
      </c>
      <c r="P77" s="4">
        <v>0</v>
      </c>
      <c r="Q77" s="4">
        <v>0</v>
      </c>
      <c r="R77" s="4">
        <v>0</v>
      </c>
      <c r="S77" s="4">
        <v>0</v>
      </c>
      <c r="T77" s="4">
        <v>1</v>
      </c>
      <c r="U77" s="4">
        <v>1250</v>
      </c>
      <c r="V77" s="4">
        <v>1250</v>
      </c>
      <c r="W77" s="4">
        <v>0</v>
      </c>
      <c r="X77" s="8">
        <v>-1.5999999999999999E-5</v>
      </c>
      <c r="Y77" s="8" t="s">
        <v>58</v>
      </c>
      <c r="Z77" s="4">
        <v>0</v>
      </c>
      <c r="AA77" s="4" t="s">
        <v>75</v>
      </c>
      <c r="AB77" s="4" t="s">
        <v>77</v>
      </c>
      <c r="AC77" s="4" t="s">
        <v>28</v>
      </c>
      <c r="AD77" s="4">
        <v>1</v>
      </c>
      <c r="AE77" s="4">
        <v>1250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4">
        <v>-1250</v>
      </c>
      <c r="AM77" s="4">
        <v>1250</v>
      </c>
      <c r="AN77" s="4">
        <v>0</v>
      </c>
      <c r="AO77" s="4">
        <v>0</v>
      </c>
      <c r="AP77" s="4">
        <v>0</v>
      </c>
      <c r="AQ77" s="4">
        <v>0</v>
      </c>
      <c r="AR77" s="4">
        <v>0</v>
      </c>
      <c r="AS77" s="4">
        <v>0</v>
      </c>
      <c r="AT77" s="4">
        <v>0</v>
      </c>
      <c r="AU77" s="4">
        <v>0.02</v>
      </c>
      <c r="AV77" s="4">
        <v>0</v>
      </c>
      <c r="AW77" s="4">
        <v>0</v>
      </c>
      <c r="AX77" s="4">
        <v>0</v>
      </c>
      <c r="AY77" s="4">
        <v>-1250</v>
      </c>
      <c r="AZ77" s="4">
        <v>-0.02</v>
      </c>
    </row>
    <row r="78" spans="1:52" x14ac:dyDescent="0.25">
      <c r="A78" s="4">
        <v>75</v>
      </c>
      <c r="B78" s="5">
        <v>43132</v>
      </c>
      <c r="C78" s="4" t="s">
        <v>40</v>
      </c>
      <c r="D78" s="4">
        <v>2018</v>
      </c>
      <c r="E78" s="4">
        <v>2</v>
      </c>
      <c r="F78" s="4" t="s">
        <v>56</v>
      </c>
      <c r="G78" s="4">
        <v>3</v>
      </c>
      <c r="H78" s="4" t="s">
        <v>57</v>
      </c>
      <c r="I78" s="4">
        <v>1000</v>
      </c>
      <c r="J78" s="4">
        <v>1000</v>
      </c>
      <c r="K78" s="4">
        <v>0.02</v>
      </c>
      <c r="L78" s="4">
        <v>0</v>
      </c>
      <c r="M78" s="4">
        <v>0</v>
      </c>
      <c r="N78" s="4">
        <v>0</v>
      </c>
      <c r="O78" s="4">
        <v>3</v>
      </c>
      <c r="P78" s="4">
        <v>1250</v>
      </c>
      <c r="Q78" s="4">
        <v>1250</v>
      </c>
      <c r="R78" s="4">
        <v>0</v>
      </c>
      <c r="S78" s="4">
        <v>0.02</v>
      </c>
      <c r="T78" s="4">
        <v>3</v>
      </c>
      <c r="U78" s="4">
        <v>1000</v>
      </c>
      <c r="V78" s="4">
        <v>1000</v>
      </c>
      <c r="W78" s="4">
        <v>0</v>
      </c>
      <c r="X78" s="8">
        <v>-2.0000000000000002E-5</v>
      </c>
      <c r="Y78" s="8">
        <v>-1.5999999999999999E-5</v>
      </c>
      <c r="Z78" s="4">
        <v>0</v>
      </c>
      <c r="AA78" s="4" t="s">
        <v>74</v>
      </c>
      <c r="AB78" s="4" t="s">
        <v>73</v>
      </c>
      <c r="AC78" s="4" t="s">
        <v>7</v>
      </c>
      <c r="AD78" s="4">
        <v>3</v>
      </c>
      <c r="AE78" s="4">
        <v>-250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4">
        <v>0</v>
      </c>
      <c r="AM78" s="4">
        <v>0</v>
      </c>
      <c r="AN78" s="4">
        <v>0</v>
      </c>
      <c r="AO78" s="4">
        <v>0</v>
      </c>
      <c r="AP78" s="4">
        <v>0</v>
      </c>
      <c r="AQ78" s="4">
        <v>0</v>
      </c>
      <c r="AR78" s="4">
        <v>0</v>
      </c>
      <c r="AS78" s="4">
        <v>0</v>
      </c>
      <c r="AT78" s="4">
        <v>0</v>
      </c>
      <c r="AU78" s="4">
        <v>0</v>
      </c>
      <c r="AV78" s="4">
        <v>0</v>
      </c>
      <c r="AW78" s="4">
        <v>0</v>
      </c>
      <c r="AX78" s="4">
        <v>0</v>
      </c>
      <c r="AY78" s="4">
        <v>250</v>
      </c>
      <c r="AZ78" s="4">
        <v>0</v>
      </c>
    </row>
    <row r="79" spans="1:52" x14ac:dyDescent="0.25">
      <c r="A79" s="4">
        <v>76</v>
      </c>
      <c r="B79" s="5">
        <v>43160</v>
      </c>
      <c r="C79" s="4" t="s">
        <v>40</v>
      </c>
      <c r="D79" s="4" t="s">
        <v>58</v>
      </c>
      <c r="E79" s="4" t="s">
        <v>58</v>
      </c>
      <c r="F79" s="4" t="s">
        <v>56</v>
      </c>
      <c r="G79" s="4" t="s">
        <v>58</v>
      </c>
      <c r="H79" s="4" t="s">
        <v>58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3</v>
      </c>
      <c r="P79" s="4">
        <v>1000</v>
      </c>
      <c r="Q79" s="4">
        <v>1000</v>
      </c>
      <c r="R79" s="4">
        <v>0</v>
      </c>
      <c r="S79" s="4">
        <v>0.02</v>
      </c>
      <c r="T79" s="4">
        <v>3</v>
      </c>
      <c r="U79" s="4">
        <v>0</v>
      </c>
      <c r="V79" s="4">
        <v>0</v>
      </c>
      <c r="W79" s="4">
        <v>0</v>
      </c>
      <c r="X79" s="8" t="s">
        <v>58</v>
      </c>
      <c r="Y79" s="8">
        <v>-2.0000000000000002E-5</v>
      </c>
      <c r="Z79" s="4">
        <v>0</v>
      </c>
      <c r="AA79" s="4" t="s">
        <v>74</v>
      </c>
      <c r="AB79" s="4" t="s">
        <v>73</v>
      </c>
      <c r="AC79" s="4" t="s">
        <v>7</v>
      </c>
      <c r="AD79" s="4">
        <v>3</v>
      </c>
      <c r="AE79" s="4">
        <v>-1000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4">
        <v>0</v>
      </c>
      <c r="AM79" s="4">
        <v>0</v>
      </c>
      <c r="AN79" s="4">
        <v>0</v>
      </c>
      <c r="AO79" s="4">
        <v>0</v>
      </c>
      <c r="AP79" s="4">
        <v>0</v>
      </c>
      <c r="AQ79" s="4">
        <v>0</v>
      </c>
      <c r="AR79" s="4">
        <v>0</v>
      </c>
      <c r="AS79" s="4">
        <v>0</v>
      </c>
      <c r="AT79" s="4">
        <v>0</v>
      </c>
      <c r="AU79" s="4">
        <v>0</v>
      </c>
      <c r="AV79" s="4">
        <v>-0.02</v>
      </c>
      <c r="AW79" s="4">
        <v>0</v>
      </c>
      <c r="AX79" s="4">
        <v>0</v>
      </c>
      <c r="AY79" s="4">
        <v>1000</v>
      </c>
      <c r="AZ79" s="4">
        <v>0.02</v>
      </c>
    </row>
    <row r="80" spans="1:52" x14ac:dyDescent="0.25">
      <c r="A80" s="4">
        <v>77</v>
      </c>
      <c r="B80" s="5">
        <v>43070</v>
      </c>
      <c r="C80" s="4" t="s">
        <v>41</v>
      </c>
      <c r="D80" s="4" t="s">
        <v>58</v>
      </c>
      <c r="E80" s="4" t="s">
        <v>58</v>
      </c>
      <c r="F80" s="4" t="s">
        <v>58</v>
      </c>
      <c r="G80" s="4" t="s">
        <v>58</v>
      </c>
      <c r="H80" s="4" t="s">
        <v>58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1</v>
      </c>
      <c r="P80" s="4" t="s">
        <v>58</v>
      </c>
      <c r="Q80" s="4" t="s">
        <v>58</v>
      </c>
      <c r="R80" s="4">
        <v>0</v>
      </c>
      <c r="S80" s="4" t="s">
        <v>58</v>
      </c>
      <c r="T80" s="4" t="s">
        <v>58</v>
      </c>
      <c r="U80" s="4">
        <v>0</v>
      </c>
      <c r="V80" s="4">
        <v>0</v>
      </c>
      <c r="W80" s="4">
        <v>0</v>
      </c>
      <c r="X80" s="8" t="s">
        <v>58</v>
      </c>
      <c r="Y80" s="8" t="s">
        <v>58</v>
      </c>
      <c r="Z80" s="4" t="s">
        <v>58</v>
      </c>
      <c r="AA80" s="4" t="s">
        <v>76</v>
      </c>
      <c r="AB80" s="4" t="s">
        <v>73</v>
      </c>
      <c r="AC80" s="4" t="s">
        <v>7</v>
      </c>
      <c r="AD80" s="4">
        <v>1</v>
      </c>
      <c r="AE80" s="4" t="s">
        <v>58</v>
      </c>
      <c r="AF80" s="4">
        <v>0</v>
      </c>
      <c r="AG80" s="4">
        <v>0</v>
      </c>
      <c r="AH80" s="4">
        <v>0</v>
      </c>
      <c r="AI80" s="4" t="s">
        <v>58</v>
      </c>
      <c r="AJ80" s="4" t="s">
        <v>58</v>
      </c>
      <c r="AK80" s="4">
        <v>0</v>
      </c>
      <c r="AL80" s="4">
        <v>0</v>
      </c>
      <c r="AM80" s="4">
        <v>0</v>
      </c>
      <c r="AN80" s="4" t="s">
        <v>58</v>
      </c>
      <c r="AO80" s="4" t="s">
        <v>58</v>
      </c>
      <c r="AP80" s="4" t="s">
        <v>58</v>
      </c>
      <c r="AQ80" s="4" t="s">
        <v>58</v>
      </c>
      <c r="AR80" s="4" t="s">
        <v>58</v>
      </c>
      <c r="AS80" s="4">
        <v>0</v>
      </c>
      <c r="AT80" s="4">
        <v>0</v>
      </c>
      <c r="AU80" s="4">
        <v>0</v>
      </c>
      <c r="AV80" s="4" t="s">
        <v>58</v>
      </c>
      <c r="AW80" s="4">
        <v>0</v>
      </c>
      <c r="AX80" s="4">
        <v>0</v>
      </c>
      <c r="AY80" s="4" t="s">
        <v>58</v>
      </c>
      <c r="AZ80" s="4" t="s">
        <v>58</v>
      </c>
    </row>
    <row r="81" spans="1:52" x14ac:dyDescent="0.25">
      <c r="A81" s="4">
        <v>78</v>
      </c>
      <c r="B81" s="5">
        <v>43101</v>
      </c>
      <c r="C81" s="4" t="s">
        <v>41</v>
      </c>
      <c r="D81" s="4">
        <v>2018</v>
      </c>
      <c r="E81" s="4">
        <v>1</v>
      </c>
      <c r="F81" s="4" t="s">
        <v>62</v>
      </c>
      <c r="G81" s="4">
        <v>1</v>
      </c>
      <c r="H81" s="4" t="s">
        <v>57</v>
      </c>
      <c r="I81" s="4">
        <v>0.01</v>
      </c>
      <c r="J81" s="4">
        <v>0.01</v>
      </c>
      <c r="K81" s="4">
        <v>2</v>
      </c>
      <c r="L81" s="4">
        <v>0</v>
      </c>
      <c r="M81" s="4">
        <v>0</v>
      </c>
      <c r="N81" s="4">
        <v>0</v>
      </c>
      <c r="O81" s="4">
        <v>1</v>
      </c>
      <c r="P81" s="4">
        <v>0</v>
      </c>
      <c r="Q81" s="4">
        <v>0</v>
      </c>
      <c r="R81" s="4">
        <v>0</v>
      </c>
      <c r="S81" s="4">
        <v>0</v>
      </c>
      <c r="T81" s="4">
        <v>1</v>
      </c>
      <c r="U81" s="4">
        <v>0.01</v>
      </c>
      <c r="V81" s="4">
        <v>0.01</v>
      </c>
      <c r="W81" s="4">
        <v>0</v>
      </c>
      <c r="X81" s="8">
        <v>-200</v>
      </c>
      <c r="Y81" s="8" t="s">
        <v>58</v>
      </c>
      <c r="Z81" s="4">
        <v>0</v>
      </c>
      <c r="AA81" s="4" t="s">
        <v>75</v>
      </c>
      <c r="AB81" s="4" t="s">
        <v>73</v>
      </c>
      <c r="AC81" s="4" t="s">
        <v>7</v>
      </c>
      <c r="AD81" s="4">
        <v>1</v>
      </c>
      <c r="AE81" s="4">
        <v>0</v>
      </c>
      <c r="AF81" s="4">
        <v>0.01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4">
        <v>0</v>
      </c>
      <c r="AM81" s="4">
        <v>0</v>
      </c>
      <c r="AN81" s="4">
        <v>0</v>
      </c>
      <c r="AO81" s="4">
        <v>0</v>
      </c>
      <c r="AP81" s="4">
        <v>0</v>
      </c>
      <c r="AQ81" s="4">
        <v>0</v>
      </c>
      <c r="AR81" s="4">
        <v>0</v>
      </c>
      <c r="AS81" s="4">
        <v>0</v>
      </c>
      <c r="AT81" s="4">
        <v>0</v>
      </c>
      <c r="AU81" s="4">
        <v>0</v>
      </c>
      <c r="AV81" s="4">
        <v>2</v>
      </c>
      <c r="AW81" s="4">
        <v>0</v>
      </c>
      <c r="AX81" s="4">
        <v>0</v>
      </c>
      <c r="AY81" s="4">
        <v>-0.01</v>
      </c>
      <c r="AZ81" s="4">
        <v>-2</v>
      </c>
    </row>
    <row r="82" spans="1:52" x14ac:dyDescent="0.25">
      <c r="A82" s="4">
        <v>79</v>
      </c>
      <c r="B82" s="5">
        <v>43132</v>
      </c>
      <c r="C82" s="4" t="s">
        <v>41</v>
      </c>
      <c r="D82" s="4">
        <v>2018</v>
      </c>
      <c r="E82" s="4">
        <v>2</v>
      </c>
      <c r="F82" s="4" t="s">
        <v>62</v>
      </c>
      <c r="G82" s="4">
        <v>1</v>
      </c>
      <c r="H82" s="4" t="s">
        <v>57</v>
      </c>
      <c r="I82" s="4">
        <v>5</v>
      </c>
      <c r="J82" s="4">
        <v>5</v>
      </c>
      <c r="K82" s="4">
        <v>1</v>
      </c>
      <c r="L82" s="4">
        <v>0</v>
      </c>
      <c r="M82" s="4">
        <v>0</v>
      </c>
      <c r="N82" s="4">
        <v>0</v>
      </c>
      <c r="O82" s="4">
        <v>1</v>
      </c>
      <c r="P82" s="4">
        <v>0.01</v>
      </c>
      <c r="Q82" s="4">
        <v>0.01</v>
      </c>
      <c r="R82" s="4">
        <v>0</v>
      </c>
      <c r="S82" s="4">
        <v>2</v>
      </c>
      <c r="T82" s="4">
        <v>1</v>
      </c>
      <c r="U82" s="4">
        <v>5</v>
      </c>
      <c r="V82" s="4">
        <v>5</v>
      </c>
      <c r="W82" s="4">
        <v>0</v>
      </c>
      <c r="X82" s="8">
        <v>-0.2</v>
      </c>
      <c r="Y82" s="8">
        <v>-200</v>
      </c>
      <c r="Z82" s="4">
        <v>0</v>
      </c>
      <c r="AA82" s="4" t="s">
        <v>75</v>
      </c>
      <c r="AB82" s="4" t="s">
        <v>73</v>
      </c>
      <c r="AC82" s="4" t="s">
        <v>7</v>
      </c>
      <c r="AD82" s="4">
        <v>1</v>
      </c>
      <c r="AE82" s="4">
        <v>0</v>
      </c>
      <c r="AF82" s="4">
        <v>4.99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4">
        <v>0</v>
      </c>
      <c r="AM82" s="4">
        <v>0</v>
      </c>
      <c r="AN82" s="4">
        <v>0</v>
      </c>
      <c r="AO82" s="4">
        <v>0</v>
      </c>
      <c r="AP82" s="4">
        <v>0</v>
      </c>
      <c r="AQ82" s="4">
        <v>0</v>
      </c>
      <c r="AR82" s="4">
        <v>0</v>
      </c>
      <c r="AS82" s="4">
        <v>0</v>
      </c>
      <c r="AT82" s="4">
        <v>0</v>
      </c>
      <c r="AU82" s="4">
        <v>0</v>
      </c>
      <c r="AV82" s="4">
        <v>-1</v>
      </c>
      <c r="AW82" s="4">
        <v>0</v>
      </c>
      <c r="AX82" s="4">
        <v>0</v>
      </c>
      <c r="AY82" s="4">
        <v>-4.99</v>
      </c>
      <c r="AZ82" s="4">
        <v>1</v>
      </c>
    </row>
    <row r="83" spans="1:52" x14ac:dyDescent="0.25">
      <c r="A83" s="4">
        <v>80</v>
      </c>
      <c r="B83" s="5">
        <v>43160</v>
      </c>
      <c r="C83" s="4" t="s">
        <v>41</v>
      </c>
      <c r="D83" s="4" t="s">
        <v>58</v>
      </c>
      <c r="E83" s="4" t="s">
        <v>58</v>
      </c>
      <c r="F83" s="4" t="s">
        <v>62</v>
      </c>
      <c r="G83" s="4" t="s">
        <v>58</v>
      </c>
      <c r="H83" s="4" t="s">
        <v>58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1</v>
      </c>
      <c r="P83" s="4">
        <v>5</v>
      </c>
      <c r="Q83" s="4">
        <v>5</v>
      </c>
      <c r="R83" s="4">
        <v>0</v>
      </c>
      <c r="S83" s="4">
        <v>1</v>
      </c>
      <c r="T83" s="4">
        <v>1</v>
      </c>
      <c r="U83" s="4">
        <v>0</v>
      </c>
      <c r="V83" s="4">
        <v>0</v>
      </c>
      <c r="W83" s="4">
        <v>0</v>
      </c>
      <c r="X83" s="8" t="s">
        <v>58</v>
      </c>
      <c r="Y83" s="8">
        <v>-0.2</v>
      </c>
      <c r="Z83" s="4">
        <v>0</v>
      </c>
      <c r="AA83" s="4" t="s">
        <v>74</v>
      </c>
      <c r="AB83" s="4" t="s">
        <v>73</v>
      </c>
      <c r="AC83" s="4" t="s">
        <v>7</v>
      </c>
      <c r="AD83" s="4">
        <v>1</v>
      </c>
      <c r="AE83" s="4">
        <v>0</v>
      </c>
      <c r="AF83" s="4">
        <v>0</v>
      </c>
      <c r="AG83" s="4">
        <v>-5</v>
      </c>
      <c r="AH83" s="4">
        <v>0</v>
      </c>
      <c r="AI83" s="4">
        <v>0</v>
      </c>
      <c r="AJ83" s="4">
        <v>0</v>
      </c>
      <c r="AK83" s="4">
        <v>0</v>
      </c>
      <c r="AL83" s="4">
        <v>0</v>
      </c>
      <c r="AM83" s="4">
        <v>0</v>
      </c>
      <c r="AN83" s="4">
        <v>0</v>
      </c>
      <c r="AO83" s="4">
        <v>0</v>
      </c>
      <c r="AP83" s="4">
        <v>0</v>
      </c>
      <c r="AQ83" s="4">
        <v>0</v>
      </c>
      <c r="AR83" s="4">
        <v>0</v>
      </c>
      <c r="AS83" s="4">
        <v>0</v>
      </c>
      <c r="AT83" s="4">
        <v>0</v>
      </c>
      <c r="AU83" s="4">
        <v>0</v>
      </c>
      <c r="AV83" s="4">
        <v>-1</v>
      </c>
      <c r="AW83" s="4">
        <v>0</v>
      </c>
      <c r="AX83" s="4">
        <v>0</v>
      </c>
      <c r="AY83" s="4">
        <v>5</v>
      </c>
      <c r="AZ83" s="4">
        <v>1</v>
      </c>
    </row>
    <row r="86" spans="1:52" s="18" customFormat="1" x14ac:dyDescent="0.25">
      <c r="A86" s="13">
        <v>67</v>
      </c>
      <c r="B86" s="14">
        <v>43132</v>
      </c>
      <c r="C86" s="13">
        <v>4000025</v>
      </c>
      <c r="D86" s="13"/>
      <c r="E86" s="13"/>
      <c r="F86" s="13"/>
      <c r="G86" s="13"/>
      <c r="H86" s="13"/>
      <c r="I86" s="15">
        <v>500</v>
      </c>
      <c r="J86" s="15"/>
      <c r="K86" s="15">
        <v>-55</v>
      </c>
      <c r="L86" s="16"/>
      <c r="M86" s="16"/>
      <c r="N86" s="16"/>
      <c r="O86" s="13"/>
      <c r="P86" s="15">
        <v>1000</v>
      </c>
      <c r="Q86" s="15"/>
      <c r="R86" s="15"/>
      <c r="S86" s="15">
        <v>-225</v>
      </c>
      <c r="T86" s="13"/>
      <c r="U86" s="15"/>
      <c r="V86" s="15"/>
      <c r="W86" s="15"/>
      <c r="X86" s="17"/>
      <c r="Y86" s="17"/>
      <c r="Z86" s="17"/>
      <c r="AA86" s="13"/>
      <c r="AB86" s="13"/>
      <c r="AC86" s="13" t="s">
        <v>7</v>
      </c>
      <c r="AD86" s="13"/>
      <c r="AE86" s="15">
        <v>100</v>
      </c>
      <c r="AF86" s="15">
        <v>0</v>
      </c>
      <c r="AG86" s="15">
        <v>0</v>
      </c>
      <c r="AH86" s="15">
        <v>0</v>
      </c>
      <c r="AI86" s="15">
        <v>0</v>
      </c>
      <c r="AJ86" s="15">
        <v>-600</v>
      </c>
      <c r="AK86" s="15">
        <v>0</v>
      </c>
      <c r="AL86" s="15">
        <v>-1000</v>
      </c>
      <c r="AM86" s="15">
        <v>1000</v>
      </c>
      <c r="AN86" s="15">
        <v>-50</v>
      </c>
      <c r="AO86" s="15">
        <v>0</v>
      </c>
      <c r="AP86" s="15">
        <v>0</v>
      </c>
      <c r="AQ86" s="15">
        <v>0</v>
      </c>
      <c r="AR86" s="15">
        <v>0</v>
      </c>
      <c r="AS86" s="15">
        <v>0</v>
      </c>
      <c r="AT86" s="15">
        <v>0</v>
      </c>
      <c r="AU86" s="15">
        <v>220</v>
      </c>
      <c r="AV86" s="15">
        <v>0</v>
      </c>
      <c r="AW86" s="15">
        <v>225</v>
      </c>
      <c r="AX86" s="15">
        <v>-225</v>
      </c>
      <c r="AY86" s="15">
        <f>SUM(P86,AE86:AM86)-I86</f>
        <v>0</v>
      </c>
      <c r="AZ86" s="15">
        <f>SUM(S86,AN86:AX86)-K86</f>
        <v>0</v>
      </c>
    </row>
    <row r="87" spans="1:52" customFormat="1" x14ac:dyDescent="0.25">
      <c r="A87" s="19" t="s">
        <v>28</v>
      </c>
      <c r="B87" s="20">
        <v>43132</v>
      </c>
      <c r="C87" s="19">
        <v>4000025</v>
      </c>
      <c r="D87" s="19"/>
      <c r="E87" s="19"/>
      <c r="F87" s="19"/>
      <c r="G87" s="19"/>
      <c r="H87" s="19"/>
      <c r="I87" s="21">
        <v>0</v>
      </c>
      <c r="J87" s="21"/>
      <c r="K87" s="21">
        <v>0</v>
      </c>
      <c r="L87" s="22"/>
      <c r="M87" s="22"/>
      <c r="N87" s="22"/>
      <c r="O87" s="19"/>
      <c r="P87" s="21">
        <f>P86</f>
        <v>1000</v>
      </c>
      <c r="Q87" s="21"/>
      <c r="R87" s="21"/>
      <c r="S87" s="21">
        <v>-225</v>
      </c>
      <c r="T87" s="19"/>
      <c r="U87" s="21"/>
      <c r="V87" s="21"/>
      <c r="W87" s="21"/>
      <c r="X87" s="23"/>
      <c r="Y87" s="23"/>
      <c r="Z87" s="23"/>
      <c r="AA87" s="19"/>
      <c r="AB87" s="19"/>
      <c r="AC87" s="19" t="s">
        <v>7</v>
      </c>
      <c r="AD87" s="19"/>
      <c r="AE87" s="21">
        <f>IF(AND(AE$2="pre",$AC87="pre"),AE86,0)</f>
        <v>0</v>
      </c>
      <c r="AF87" s="21">
        <f t="shared" ref="AF87:AV87" si="0">IF(AND(AF$2="pre",$AC87="pre"),AF86,0)</f>
        <v>0</v>
      </c>
      <c r="AG87" s="21">
        <f t="shared" si="0"/>
        <v>0</v>
      </c>
      <c r="AH87" s="21">
        <f t="shared" si="0"/>
        <v>0</v>
      </c>
      <c r="AI87" s="21">
        <f t="shared" si="0"/>
        <v>0</v>
      </c>
      <c r="AJ87" s="21">
        <f t="shared" si="0"/>
        <v>0</v>
      </c>
      <c r="AK87" s="21">
        <f t="shared" si="0"/>
        <v>0</v>
      </c>
      <c r="AL87" s="21">
        <f>AL86</f>
        <v>-1000</v>
      </c>
      <c r="AM87" s="21">
        <v>0</v>
      </c>
      <c r="AN87" s="21">
        <f t="shared" si="0"/>
        <v>0</v>
      </c>
      <c r="AO87" s="21">
        <f t="shared" si="0"/>
        <v>0</v>
      </c>
      <c r="AP87" s="21">
        <f t="shared" si="0"/>
        <v>0</v>
      </c>
      <c r="AQ87" s="21">
        <f t="shared" si="0"/>
        <v>0</v>
      </c>
      <c r="AR87" s="21">
        <f t="shared" si="0"/>
        <v>0</v>
      </c>
      <c r="AS87" s="21">
        <f t="shared" si="0"/>
        <v>0</v>
      </c>
      <c r="AT87" s="21">
        <f t="shared" si="0"/>
        <v>0</v>
      </c>
      <c r="AU87" s="21">
        <f t="shared" si="0"/>
        <v>0</v>
      </c>
      <c r="AV87" s="21">
        <f t="shared" si="0"/>
        <v>0</v>
      </c>
      <c r="AW87" s="21">
        <f>AW86</f>
        <v>225</v>
      </c>
      <c r="AX87" s="21">
        <v>0</v>
      </c>
      <c r="AY87" s="21">
        <f>SUM(P87,AE87:AM87)-I87</f>
        <v>0</v>
      </c>
      <c r="AZ87" s="21">
        <f>SUM(S87,AN87:AX87)-K87</f>
        <v>0</v>
      </c>
    </row>
    <row r="88" spans="1:52" customFormat="1" x14ac:dyDescent="0.25">
      <c r="A88" s="19" t="s">
        <v>7</v>
      </c>
      <c r="B88" s="20">
        <v>43132</v>
      </c>
      <c r="C88" s="19">
        <v>4000025</v>
      </c>
      <c r="D88" s="19"/>
      <c r="E88" s="19"/>
      <c r="F88" s="19"/>
      <c r="G88" s="19"/>
      <c r="H88" s="19"/>
      <c r="I88" s="21">
        <f>I86-I87</f>
        <v>500</v>
      </c>
      <c r="J88" s="21"/>
      <c r="K88" s="21">
        <f>K86-K87</f>
        <v>-55</v>
      </c>
      <c r="L88" s="22"/>
      <c r="M88" s="22"/>
      <c r="N88" s="22"/>
      <c r="O88" s="19"/>
      <c r="P88" s="21">
        <f>P86-P87</f>
        <v>0</v>
      </c>
      <c r="Q88" s="21"/>
      <c r="R88" s="21"/>
      <c r="S88" s="21">
        <f>S86-S87</f>
        <v>0</v>
      </c>
      <c r="T88" s="19"/>
      <c r="U88" s="21"/>
      <c r="V88" s="21"/>
      <c r="W88" s="21"/>
      <c r="X88" s="23"/>
      <c r="Y88" s="23"/>
      <c r="Z88" s="23"/>
      <c r="AA88" s="19"/>
      <c r="AB88" s="19"/>
      <c r="AC88" s="19" t="s">
        <v>7</v>
      </c>
      <c r="AD88" s="19"/>
      <c r="AE88" s="21">
        <f>AE86-AE87</f>
        <v>100</v>
      </c>
      <c r="AF88" s="21">
        <f t="shared" ref="AF88:AX88" si="1">AF86-AF87</f>
        <v>0</v>
      </c>
      <c r="AG88" s="21">
        <f t="shared" si="1"/>
        <v>0</v>
      </c>
      <c r="AH88" s="21">
        <f t="shared" si="1"/>
        <v>0</v>
      </c>
      <c r="AI88" s="21">
        <f t="shared" si="1"/>
        <v>0</v>
      </c>
      <c r="AJ88" s="21">
        <f t="shared" si="1"/>
        <v>-600</v>
      </c>
      <c r="AK88" s="21">
        <f t="shared" si="1"/>
        <v>0</v>
      </c>
      <c r="AL88" s="21">
        <f t="shared" si="1"/>
        <v>0</v>
      </c>
      <c r="AM88" s="21">
        <f t="shared" si="1"/>
        <v>1000</v>
      </c>
      <c r="AN88" s="21">
        <f t="shared" si="1"/>
        <v>-50</v>
      </c>
      <c r="AO88" s="21">
        <f t="shared" si="1"/>
        <v>0</v>
      </c>
      <c r="AP88" s="21">
        <f t="shared" si="1"/>
        <v>0</v>
      </c>
      <c r="AQ88" s="21">
        <f t="shared" si="1"/>
        <v>0</v>
      </c>
      <c r="AR88" s="21">
        <f t="shared" si="1"/>
        <v>0</v>
      </c>
      <c r="AS88" s="21">
        <f t="shared" si="1"/>
        <v>0</v>
      </c>
      <c r="AT88" s="21">
        <f t="shared" si="1"/>
        <v>0</v>
      </c>
      <c r="AU88" s="21">
        <f t="shared" si="1"/>
        <v>220</v>
      </c>
      <c r="AV88" s="21">
        <f t="shared" si="1"/>
        <v>0</v>
      </c>
      <c r="AW88" s="21">
        <f t="shared" si="1"/>
        <v>0</v>
      </c>
      <c r="AX88" s="21">
        <f t="shared" si="1"/>
        <v>-225</v>
      </c>
      <c r="AY88" s="21">
        <f>SUM(P88,AE88:AM88)-I88</f>
        <v>0</v>
      </c>
      <c r="AZ88" s="21">
        <f>SUM(S88,AN88:AX88)-K88</f>
        <v>0</v>
      </c>
    </row>
    <row r="89" spans="1:52" customFormat="1" x14ac:dyDescent="0.25">
      <c r="A89" s="3"/>
      <c r="B89" s="24"/>
      <c r="C89" s="3"/>
      <c r="D89" s="3"/>
      <c r="E89" s="3"/>
      <c r="F89" s="3"/>
      <c r="G89" s="3"/>
      <c r="H89" s="3"/>
      <c r="I89" s="25"/>
      <c r="J89" s="25"/>
      <c r="K89" s="25"/>
      <c r="L89" s="2"/>
      <c r="M89" s="2"/>
      <c r="N89" s="2"/>
      <c r="O89" s="3"/>
      <c r="P89" s="25" t="s">
        <v>120</v>
      </c>
      <c r="Q89" s="25"/>
      <c r="R89" s="25"/>
      <c r="S89" s="25" t="s">
        <v>120</v>
      </c>
      <c r="T89" s="3"/>
      <c r="U89" s="25"/>
      <c r="V89" s="25"/>
      <c r="W89" s="25"/>
      <c r="X89" s="26"/>
      <c r="Y89" s="26"/>
      <c r="Z89" s="26"/>
      <c r="AA89" s="3"/>
      <c r="AB89" s="3"/>
      <c r="AC89" s="3"/>
      <c r="AD89" s="3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</row>
    <row r="90" spans="1:52" s="18" customFormat="1" x14ac:dyDescent="0.25">
      <c r="A90" s="27">
        <v>31</v>
      </c>
      <c r="B90" s="28">
        <v>43132</v>
      </c>
      <c r="C90" s="27">
        <v>4000008</v>
      </c>
      <c r="D90" s="27"/>
      <c r="E90" s="27"/>
      <c r="F90" s="27"/>
      <c r="G90" s="27"/>
      <c r="H90" s="27"/>
      <c r="I90" s="29">
        <v>490</v>
      </c>
      <c r="J90" s="29"/>
      <c r="K90" s="29">
        <v>-55</v>
      </c>
      <c r="L90" s="30"/>
      <c r="M90" s="30"/>
      <c r="N90" s="30"/>
      <c r="O90" s="27"/>
      <c r="P90" s="29">
        <v>985</v>
      </c>
      <c r="Q90" s="29"/>
      <c r="R90" s="29"/>
      <c r="S90" s="29">
        <v>-225</v>
      </c>
      <c r="T90" s="27"/>
      <c r="U90" s="29"/>
      <c r="V90" s="29"/>
      <c r="W90" s="29"/>
      <c r="X90" s="31"/>
      <c r="Y90" s="31"/>
      <c r="Z90" s="31"/>
      <c r="AA90" s="27"/>
      <c r="AB90" s="27"/>
      <c r="AC90" s="27" t="s">
        <v>28</v>
      </c>
      <c r="AD90" s="27"/>
      <c r="AE90" s="29">
        <v>0</v>
      </c>
      <c r="AF90" s="29">
        <v>0</v>
      </c>
      <c r="AG90" s="29">
        <v>0</v>
      </c>
      <c r="AH90" s="29">
        <v>0</v>
      </c>
      <c r="AI90" s="29">
        <v>-500</v>
      </c>
      <c r="AJ90" s="29">
        <v>5</v>
      </c>
      <c r="AK90" s="29">
        <v>0</v>
      </c>
      <c r="AL90" s="29">
        <v>-485</v>
      </c>
      <c r="AM90" s="29">
        <v>485</v>
      </c>
      <c r="AN90" s="29">
        <v>0</v>
      </c>
      <c r="AO90" s="29">
        <v>0</v>
      </c>
      <c r="AP90" s="29">
        <v>0</v>
      </c>
      <c r="AQ90" s="29">
        <v>0</v>
      </c>
      <c r="AR90" s="29">
        <v>110</v>
      </c>
      <c r="AS90" s="29">
        <v>0</v>
      </c>
      <c r="AT90" s="29">
        <v>0</v>
      </c>
      <c r="AU90" s="29">
        <v>60</v>
      </c>
      <c r="AV90" s="29">
        <v>0</v>
      </c>
      <c r="AW90" s="29">
        <v>115</v>
      </c>
      <c r="AX90" s="29">
        <v>-115</v>
      </c>
      <c r="AY90" s="29">
        <f t="shared" ref="AY90:AY92" si="2">SUM(P90,AE90:AM90)-I90</f>
        <v>0</v>
      </c>
      <c r="AZ90" s="29">
        <f t="shared" ref="AZ90:AZ92" si="3">SUM(S90,AN90:AX90)-K90</f>
        <v>0</v>
      </c>
    </row>
    <row r="91" spans="1:52" customFormat="1" x14ac:dyDescent="0.25">
      <c r="A91" s="32" t="s">
        <v>28</v>
      </c>
      <c r="B91" s="33">
        <v>43132</v>
      </c>
      <c r="C91" s="32">
        <v>4000008</v>
      </c>
      <c r="D91" s="32"/>
      <c r="E91" s="32"/>
      <c r="F91" s="32"/>
      <c r="G91" s="32"/>
      <c r="H91" s="32"/>
      <c r="I91" s="34">
        <v>0</v>
      </c>
      <c r="J91" s="34"/>
      <c r="K91" s="34">
        <v>0</v>
      </c>
      <c r="L91" s="35"/>
      <c r="M91" s="35"/>
      <c r="N91" s="35"/>
      <c r="O91" s="32"/>
      <c r="P91" s="34">
        <v>985</v>
      </c>
      <c r="Q91" s="34"/>
      <c r="R91" s="34"/>
      <c r="S91" s="34">
        <v>-225</v>
      </c>
      <c r="T91" s="32"/>
      <c r="U91" s="34"/>
      <c r="V91" s="34"/>
      <c r="W91" s="34"/>
      <c r="X91" s="36"/>
      <c r="Y91" s="36"/>
      <c r="Z91" s="36"/>
      <c r="AA91" s="32"/>
      <c r="AB91" s="32"/>
      <c r="AC91" s="32" t="s">
        <v>28</v>
      </c>
      <c r="AD91" s="32"/>
      <c r="AE91" s="34">
        <f>IF(AND(AE$2="pre",$AC91="pre"),AE90,0)</f>
        <v>0</v>
      </c>
      <c r="AF91" s="34">
        <f t="shared" ref="AF91:AV91" si="4">IF(AND(AF$2="pre",$AC91="pre"),AF90,0)</f>
        <v>0</v>
      </c>
      <c r="AG91" s="34">
        <f t="shared" si="4"/>
        <v>0</v>
      </c>
      <c r="AH91" s="34">
        <f t="shared" si="4"/>
        <v>0</v>
      </c>
      <c r="AI91" s="34">
        <f t="shared" si="4"/>
        <v>0</v>
      </c>
      <c r="AJ91" s="34">
        <f t="shared" si="4"/>
        <v>0</v>
      </c>
      <c r="AK91" s="34">
        <f t="shared" si="4"/>
        <v>0</v>
      </c>
      <c r="AL91" s="34">
        <f>AL90</f>
        <v>-485</v>
      </c>
      <c r="AM91" s="34">
        <v>0</v>
      </c>
      <c r="AN91" s="34">
        <f t="shared" si="4"/>
        <v>0</v>
      </c>
      <c r="AO91" s="34">
        <f t="shared" si="4"/>
        <v>0</v>
      </c>
      <c r="AP91" s="34">
        <f t="shared" si="4"/>
        <v>0</v>
      </c>
      <c r="AQ91" s="34">
        <f t="shared" si="4"/>
        <v>0</v>
      </c>
      <c r="AR91" s="34">
        <f t="shared" si="4"/>
        <v>0</v>
      </c>
      <c r="AS91" s="34">
        <f t="shared" si="4"/>
        <v>0</v>
      </c>
      <c r="AT91" s="34">
        <f t="shared" si="4"/>
        <v>0</v>
      </c>
      <c r="AU91" s="34">
        <f t="shared" si="4"/>
        <v>0</v>
      </c>
      <c r="AV91" s="34">
        <f t="shared" si="4"/>
        <v>0</v>
      </c>
      <c r="AW91" s="34">
        <f>AW90</f>
        <v>115</v>
      </c>
      <c r="AX91" s="34">
        <v>0</v>
      </c>
      <c r="AY91" s="34">
        <f t="shared" si="2"/>
        <v>500</v>
      </c>
      <c r="AZ91" s="34">
        <f t="shared" si="3"/>
        <v>-110</v>
      </c>
    </row>
    <row r="92" spans="1:52" customFormat="1" x14ac:dyDescent="0.25">
      <c r="A92" s="32" t="s">
        <v>7</v>
      </c>
      <c r="B92" s="33">
        <v>43132</v>
      </c>
      <c r="C92" s="32">
        <v>4000008</v>
      </c>
      <c r="D92" s="32"/>
      <c r="E92" s="32"/>
      <c r="F92" s="32"/>
      <c r="G92" s="32"/>
      <c r="H92" s="32"/>
      <c r="I92" s="34">
        <f>I90-I91</f>
        <v>490</v>
      </c>
      <c r="J92" s="34"/>
      <c r="K92" s="34">
        <f>K90-K91</f>
        <v>-55</v>
      </c>
      <c r="L92" s="35"/>
      <c r="M92" s="35"/>
      <c r="N92" s="35"/>
      <c r="O92" s="32"/>
      <c r="P92" s="34">
        <f>P90-P91</f>
        <v>0</v>
      </c>
      <c r="Q92" s="34"/>
      <c r="R92" s="34"/>
      <c r="S92" s="34">
        <f>S90-S91</f>
        <v>0</v>
      </c>
      <c r="T92" s="32"/>
      <c r="U92" s="34"/>
      <c r="V92" s="34"/>
      <c r="W92" s="34"/>
      <c r="X92" s="36"/>
      <c r="Y92" s="36"/>
      <c r="Z92" s="36"/>
      <c r="AA92" s="32"/>
      <c r="AB92" s="32"/>
      <c r="AC92" s="32" t="s">
        <v>28</v>
      </c>
      <c r="AD92" s="32"/>
      <c r="AE92" s="34">
        <f>AE90-AE91</f>
        <v>0</v>
      </c>
      <c r="AF92" s="34">
        <f t="shared" ref="AF92:AX92" si="5">AF90-AF91</f>
        <v>0</v>
      </c>
      <c r="AG92" s="34">
        <f t="shared" si="5"/>
        <v>0</v>
      </c>
      <c r="AH92" s="34">
        <f t="shared" si="5"/>
        <v>0</v>
      </c>
      <c r="AI92" s="34">
        <f t="shared" si="5"/>
        <v>-500</v>
      </c>
      <c r="AJ92" s="34">
        <f t="shared" si="5"/>
        <v>5</v>
      </c>
      <c r="AK92" s="34">
        <f t="shared" si="5"/>
        <v>0</v>
      </c>
      <c r="AL92" s="34">
        <f t="shared" si="5"/>
        <v>0</v>
      </c>
      <c r="AM92" s="34">
        <f t="shared" si="5"/>
        <v>485</v>
      </c>
      <c r="AN92" s="34">
        <f t="shared" si="5"/>
        <v>0</v>
      </c>
      <c r="AO92" s="34">
        <f t="shared" si="5"/>
        <v>0</v>
      </c>
      <c r="AP92" s="34">
        <f t="shared" si="5"/>
        <v>0</v>
      </c>
      <c r="AQ92" s="34">
        <f t="shared" si="5"/>
        <v>0</v>
      </c>
      <c r="AR92" s="34">
        <f t="shared" si="5"/>
        <v>110</v>
      </c>
      <c r="AS92" s="34">
        <f t="shared" si="5"/>
        <v>0</v>
      </c>
      <c r="AT92" s="34">
        <f t="shared" si="5"/>
        <v>0</v>
      </c>
      <c r="AU92" s="34">
        <f t="shared" si="5"/>
        <v>60</v>
      </c>
      <c r="AV92" s="34">
        <f t="shared" si="5"/>
        <v>0</v>
      </c>
      <c r="AW92" s="34">
        <f t="shared" si="5"/>
        <v>0</v>
      </c>
      <c r="AX92" s="34">
        <f t="shared" si="5"/>
        <v>-115</v>
      </c>
      <c r="AY92" s="34">
        <f t="shared" si="2"/>
        <v>-500</v>
      </c>
      <c r="AZ92" s="34">
        <f t="shared" si="3"/>
        <v>110</v>
      </c>
    </row>
    <row r="93" spans="1:52" s="6" customFormat="1" ht="90" x14ac:dyDescent="0.25">
      <c r="B93" s="37"/>
      <c r="I93" s="38" t="s">
        <v>121</v>
      </c>
      <c r="J93" s="38"/>
      <c r="K93" s="38" t="s">
        <v>121</v>
      </c>
      <c r="L93" s="38"/>
      <c r="M93" s="38"/>
      <c r="N93" s="38"/>
      <c r="P93" s="38" t="s">
        <v>122</v>
      </c>
      <c r="Q93" s="38"/>
      <c r="R93" s="38"/>
      <c r="S93" s="38" t="s">
        <v>122</v>
      </c>
      <c r="U93" s="38"/>
      <c r="V93" s="38"/>
      <c r="W93" s="38"/>
      <c r="X93" s="39"/>
      <c r="Y93" s="39"/>
      <c r="Z93" s="39"/>
      <c r="AE93" s="38" t="s">
        <v>123</v>
      </c>
      <c r="AF93" s="38" t="s">
        <v>123</v>
      </c>
      <c r="AG93" s="38" t="s">
        <v>123</v>
      </c>
      <c r="AH93" s="38" t="s">
        <v>123</v>
      </c>
      <c r="AI93" s="38" t="s">
        <v>123</v>
      </c>
      <c r="AJ93" s="38" t="s">
        <v>121</v>
      </c>
      <c r="AK93" s="38" t="s">
        <v>121</v>
      </c>
      <c r="AL93" s="38" t="s">
        <v>122</v>
      </c>
      <c r="AM93" s="38" t="s">
        <v>121</v>
      </c>
      <c r="AN93" s="38" t="s">
        <v>123</v>
      </c>
      <c r="AO93" s="38" t="s">
        <v>123</v>
      </c>
      <c r="AP93" s="38" t="s">
        <v>123</v>
      </c>
      <c r="AQ93" s="38" t="s">
        <v>123</v>
      </c>
      <c r="AR93" s="38" t="s">
        <v>123</v>
      </c>
      <c r="AS93" s="38" t="s">
        <v>121</v>
      </c>
      <c r="AT93" s="38" t="s">
        <v>121</v>
      </c>
      <c r="AU93" s="38" t="s">
        <v>121</v>
      </c>
      <c r="AV93" s="38" t="s">
        <v>121</v>
      </c>
      <c r="AW93" s="38" t="s">
        <v>122</v>
      </c>
      <c r="AX93" s="38" t="s">
        <v>121</v>
      </c>
      <c r="AY93" s="38"/>
      <c r="AZ93" s="38"/>
    </row>
    <row r="94" spans="1:52" customFormat="1" x14ac:dyDescent="0.25">
      <c r="A94" s="3"/>
      <c r="B94" s="24"/>
      <c r="C94" s="3"/>
      <c r="D94" s="3"/>
      <c r="E94" s="3"/>
      <c r="F94" s="3"/>
      <c r="G94" s="3"/>
      <c r="H94" s="3"/>
      <c r="I94" s="25" t="s">
        <v>124</v>
      </c>
      <c r="J94" s="25"/>
      <c r="K94" s="25" t="s">
        <v>124</v>
      </c>
      <c r="L94" s="2"/>
      <c r="M94" s="2"/>
      <c r="N94" s="2"/>
      <c r="O94" s="3"/>
      <c r="P94" s="25" t="s">
        <v>124</v>
      </c>
      <c r="Q94" s="25"/>
      <c r="R94" s="25"/>
      <c r="S94" s="25" t="s">
        <v>124</v>
      </c>
      <c r="T94" s="3"/>
      <c r="U94" s="25"/>
      <c r="V94" s="25"/>
      <c r="W94" s="25"/>
      <c r="X94" s="26"/>
      <c r="Y94" s="26"/>
      <c r="Z94" s="26"/>
      <c r="AA94" s="3"/>
      <c r="AB94" s="3"/>
      <c r="AC94" s="3"/>
      <c r="AD94" s="3"/>
      <c r="AE94" s="25" t="s">
        <v>125</v>
      </c>
      <c r="AF94" s="25" t="s">
        <v>125</v>
      </c>
      <c r="AG94" s="25" t="s">
        <v>125</v>
      </c>
      <c r="AH94" s="25" t="s">
        <v>125</v>
      </c>
      <c r="AI94" s="25" t="s">
        <v>125</v>
      </c>
      <c r="AJ94" s="25" t="s">
        <v>124</v>
      </c>
      <c r="AK94" s="25" t="s">
        <v>124</v>
      </c>
      <c r="AL94" s="25" t="s">
        <v>124</v>
      </c>
      <c r="AM94" s="25" t="s">
        <v>124</v>
      </c>
      <c r="AN94" s="25" t="s">
        <v>125</v>
      </c>
      <c r="AO94" s="25" t="s">
        <v>125</v>
      </c>
      <c r="AP94" s="25" t="s">
        <v>125</v>
      </c>
      <c r="AQ94" s="25" t="s">
        <v>125</v>
      </c>
      <c r="AR94" s="25" t="s">
        <v>125</v>
      </c>
      <c r="AS94" s="25" t="s">
        <v>124</v>
      </c>
      <c r="AT94" s="25" t="s">
        <v>124</v>
      </c>
      <c r="AU94" s="25" t="s">
        <v>124</v>
      </c>
      <c r="AV94" s="25" t="s">
        <v>124</v>
      </c>
      <c r="AW94" s="25" t="s">
        <v>124</v>
      </c>
      <c r="AX94" s="25" t="s">
        <v>124</v>
      </c>
      <c r="AY94" s="25"/>
      <c r="AZ94" s="25"/>
    </row>
    <row r="95" spans="1:52" customFormat="1" x14ac:dyDescent="0.25">
      <c r="A95" s="3"/>
      <c r="B95" s="24"/>
      <c r="C95" s="3"/>
      <c r="D95" s="3"/>
      <c r="E95" s="3"/>
      <c r="F95" s="3"/>
      <c r="G95" s="3"/>
      <c r="H95" s="3"/>
      <c r="I95" s="25" t="s">
        <v>126</v>
      </c>
      <c r="J95" s="25"/>
      <c r="K95" s="25" t="s">
        <v>126</v>
      </c>
      <c r="L95" s="2"/>
      <c r="M95" s="2"/>
      <c r="N95" s="2"/>
      <c r="O95" s="3"/>
      <c r="P95" s="40" t="s">
        <v>59</v>
      </c>
      <c r="Q95" s="40"/>
      <c r="R95" s="40"/>
      <c r="S95" s="40" t="s">
        <v>59</v>
      </c>
      <c r="T95" s="3"/>
      <c r="U95" s="25"/>
      <c r="V95" s="25"/>
      <c r="W95" s="25"/>
      <c r="X95" s="26"/>
      <c r="Y95" s="26"/>
      <c r="Z95" s="26"/>
      <c r="AA95" s="3"/>
      <c r="AB95" s="3"/>
      <c r="AC95" s="3"/>
      <c r="AD95" s="3"/>
      <c r="AE95" s="25"/>
      <c r="AF95" s="25"/>
      <c r="AG95" s="25"/>
      <c r="AH95" s="25"/>
      <c r="AI95" s="25"/>
      <c r="AJ95" s="25" t="s">
        <v>126</v>
      </c>
      <c r="AK95" s="25" t="s">
        <v>126</v>
      </c>
      <c r="AL95" s="40" t="s">
        <v>59</v>
      </c>
      <c r="AM95" s="25" t="s">
        <v>126</v>
      </c>
      <c r="AN95" s="25"/>
      <c r="AO95" s="25"/>
      <c r="AP95" s="25"/>
      <c r="AQ95" s="25"/>
      <c r="AR95" s="25"/>
      <c r="AS95" s="25" t="s">
        <v>126</v>
      </c>
      <c r="AT95" s="25" t="s">
        <v>126</v>
      </c>
      <c r="AU95" s="25" t="s">
        <v>126</v>
      </c>
      <c r="AV95" s="25" t="s">
        <v>126</v>
      </c>
      <c r="AW95" s="40" t="s">
        <v>59</v>
      </c>
      <c r="AX95" s="25" t="s">
        <v>126</v>
      </c>
      <c r="AY95" s="25"/>
      <c r="AZ95" s="25"/>
    </row>
    <row r="96" spans="1:52" customFormat="1" x14ac:dyDescent="0.25">
      <c r="A96" s="3"/>
      <c r="B96" s="24"/>
      <c r="C96" s="3"/>
      <c r="D96" s="3"/>
      <c r="E96" s="3"/>
      <c r="F96" s="3"/>
      <c r="G96" s="3"/>
      <c r="H96" s="3"/>
      <c r="I96" s="25"/>
      <c r="J96" s="25"/>
      <c r="K96" s="25"/>
      <c r="L96" s="2"/>
      <c r="M96" s="2"/>
      <c r="N96" s="2"/>
      <c r="O96" s="3"/>
      <c r="P96" s="25"/>
      <c r="Q96" s="25"/>
      <c r="R96" s="25"/>
      <c r="S96" s="25"/>
      <c r="T96" s="3"/>
      <c r="U96" s="25"/>
      <c r="V96" s="25"/>
      <c r="W96" s="25"/>
      <c r="X96" s="26"/>
      <c r="Y96" s="26"/>
      <c r="Z96" s="26"/>
      <c r="AA96" s="3"/>
      <c r="AB96" s="3"/>
      <c r="AC96" s="3"/>
      <c r="AD96" s="3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37"/>
  <sheetViews>
    <sheetView zoomScale="60" zoomScaleNormal="60" workbookViewId="0">
      <pane ySplit="4" topLeftCell="A5" activePane="bottomLeft" state="frozen"/>
      <selection activeCell="E16" sqref="E16"/>
      <selection pane="bottomLeft" activeCell="D4" sqref="D4"/>
    </sheetView>
  </sheetViews>
  <sheetFormatPr defaultRowHeight="15" x14ac:dyDescent="0.25"/>
  <cols>
    <col min="1" max="1" width="9.5703125" style="44" bestFit="1" customWidth="1"/>
    <col min="2" max="2" width="23.7109375" style="50" bestFit="1" customWidth="1"/>
    <col min="3" max="3" width="14" style="9" customWidth="1"/>
    <col min="4" max="5" width="14" style="3" customWidth="1"/>
    <col min="6" max="6" width="16.140625" style="3" bestFit="1" customWidth="1"/>
    <col min="7" max="7" width="14.28515625" style="3" customWidth="1"/>
    <col min="8" max="8" width="14.28515625" customWidth="1"/>
    <col min="9" max="11" width="14.28515625" style="3" customWidth="1"/>
    <col min="12" max="12" width="14.28515625" customWidth="1"/>
  </cols>
  <sheetData>
    <row r="1" spans="1:13" x14ac:dyDescent="0.25">
      <c r="A1" s="45">
        <v>43101</v>
      </c>
      <c r="B1" s="48"/>
    </row>
    <row r="2" spans="1:13" x14ac:dyDescent="0.25">
      <c r="A2" s="45">
        <v>43435</v>
      </c>
      <c r="B2" s="48"/>
    </row>
    <row r="4" spans="1:13" s="10" customFormat="1" ht="38.25" customHeight="1" x14ac:dyDescent="0.25">
      <c r="A4" s="43" t="s">
        <v>149</v>
      </c>
      <c r="B4" s="49" t="s">
        <v>154</v>
      </c>
      <c r="C4" s="11" t="s">
        <v>0</v>
      </c>
      <c r="D4" s="12" t="s">
        <v>45</v>
      </c>
      <c r="E4" s="12" t="s">
        <v>213</v>
      </c>
      <c r="F4" s="12" t="s">
        <v>1</v>
      </c>
      <c r="G4" s="12" t="s">
        <v>110</v>
      </c>
      <c r="H4" s="6" t="s">
        <v>115</v>
      </c>
      <c r="I4" s="12" t="s">
        <v>3</v>
      </c>
      <c r="J4" s="12" t="s">
        <v>4</v>
      </c>
      <c r="K4" s="12" t="s">
        <v>5</v>
      </c>
      <c r="L4" s="10" t="s">
        <v>127</v>
      </c>
      <c r="M4" s="12"/>
    </row>
    <row r="5" spans="1:13" x14ac:dyDescent="0.25">
      <c r="A5" s="44">
        <f t="shared" ref="A5:A6" si="0">IF(OR(AND(C5=$A$1,J5="op"),AND(C5=$A$2,J5="cl"),AND(C5&gt;=$A$1,C5&lt;=$A$2,J5&lt;&gt;"op",J5&lt;&gt;"cl")),1,0)</f>
        <v>0</v>
      </c>
      <c r="B5" s="50" t="str">
        <f>VLOOKUP(K5,Lookup!$A$1:$D$34,4,FALSE)</f>
        <v>zf_close</v>
      </c>
      <c r="C5" s="9">
        <v>43070</v>
      </c>
      <c r="D5" s="3">
        <v>2017</v>
      </c>
      <c r="E5" s="3">
        <v>12</v>
      </c>
      <c r="F5" s="3" t="s">
        <v>6</v>
      </c>
      <c r="G5" s="3" t="s">
        <v>58</v>
      </c>
      <c r="H5">
        <v>2</v>
      </c>
      <c r="I5" s="3">
        <v>2</v>
      </c>
      <c r="J5" s="3" t="s">
        <v>8</v>
      </c>
      <c r="K5" s="3" t="s">
        <v>9</v>
      </c>
      <c r="L5" s="3">
        <v>-1500</v>
      </c>
    </row>
    <row r="6" spans="1:13" x14ac:dyDescent="0.25">
      <c r="A6" s="44">
        <f t="shared" si="0"/>
        <v>0</v>
      </c>
      <c r="B6" s="50" t="str">
        <f>VLOOKUP(K6,Lookup!$A$1:$D$34,4,FALSE)</f>
        <v>zf_close</v>
      </c>
      <c r="C6" s="9">
        <v>43070</v>
      </c>
      <c r="D6" s="3">
        <v>2017</v>
      </c>
      <c r="E6" s="3">
        <v>12</v>
      </c>
      <c r="F6" s="3" t="s">
        <v>6</v>
      </c>
      <c r="G6" s="3" t="s">
        <v>58</v>
      </c>
      <c r="H6">
        <v>2</v>
      </c>
      <c r="I6" s="3">
        <v>2</v>
      </c>
      <c r="J6" s="3" t="s">
        <v>15</v>
      </c>
      <c r="K6" s="3" t="s">
        <v>9</v>
      </c>
      <c r="L6" s="3">
        <v>7500</v>
      </c>
    </row>
    <row r="7" spans="1:13" x14ac:dyDescent="0.25">
      <c r="A7" s="44">
        <f>IF(OR(AND(C7=$A$1,J7="op"),AND(C7=$A$2,J7="cl"),AND(C7&gt;=$A$1,C7&lt;=$A$2,J7&lt;&gt;"op",J7&lt;&gt;"cl")),1,0)</f>
        <v>1</v>
      </c>
      <c r="B7" s="50" t="str">
        <f>VLOOKUP(K7,Lookup!$A$1:$D$34,4,FALSE)</f>
        <v>zf_close</v>
      </c>
      <c r="C7" s="9">
        <v>43101</v>
      </c>
      <c r="D7" s="3">
        <v>2018</v>
      </c>
      <c r="E7" s="3">
        <v>1</v>
      </c>
      <c r="F7" s="3" t="s">
        <v>6</v>
      </c>
      <c r="G7" s="3">
        <v>2</v>
      </c>
      <c r="H7">
        <v>3</v>
      </c>
      <c r="I7" s="3">
        <v>3</v>
      </c>
      <c r="J7" s="3" t="s">
        <v>8</v>
      </c>
      <c r="K7" s="3" t="s">
        <v>9</v>
      </c>
      <c r="L7" s="3">
        <v>-3000</v>
      </c>
    </row>
    <row r="8" spans="1:13" x14ac:dyDescent="0.25">
      <c r="A8" s="44">
        <f t="shared" ref="A8:A71" si="1">IF(OR(AND(C8=$A$1,J8="op"),AND(C8=$A$2,J8="cl"),AND(C8&gt;=$A$1,C8&lt;=$A$2,J8&lt;&gt;"op",J8&lt;&gt;"cl")),1,0)</f>
        <v>1</v>
      </c>
      <c r="B8" s="50" t="str">
        <f>VLOOKUP(K8,Lookup!$A$1:$D$34,4,FALSE)</f>
        <v>zb_re-measure_migr</v>
      </c>
      <c r="C8" s="9">
        <v>43101</v>
      </c>
      <c r="D8" s="3">
        <v>2018</v>
      </c>
      <c r="E8" s="3">
        <v>1</v>
      </c>
      <c r="F8" s="3" t="s">
        <v>6</v>
      </c>
      <c r="G8" s="3">
        <v>2</v>
      </c>
      <c r="H8">
        <v>3</v>
      </c>
      <c r="I8" s="3">
        <v>3</v>
      </c>
      <c r="J8" s="3" t="s">
        <v>8</v>
      </c>
      <c r="K8" s="3" t="s">
        <v>12</v>
      </c>
      <c r="L8" s="3">
        <v>-1500</v>
      </c>
    </row>
    <row r="9" spans="1:13" x14ac:dyDescent="0.25">
      <c r="A9" s="44">
        <f t="shared" si="1"/>
        <v>1</v>
      </c>
      <c r="B9" s="50" t="str">
        <f>VLOOKUP(K9,Lookup!$A$1:$D$34,4,FALSE)</f>
        <v>g_tfr.2.3</v>
      </c>
      <c r="C9" s="9">
        <v>43101</v>
      </c>
      <c r="D9" s="3">
        <v>2018</v>
      </c>
      <c r="E9" s="3">
        <v>1</v>
      </c>
      <c r="F9" s="3" t="s">
        <v>6</v>
      </c>
      <c r="G9" s="3">
        <v>2</v>
      </c>
      <c r="H9">
        <v>3</v>
      </c>
      <c r="I9" s="3">
        <v>3</v>
      </c>
      <c r="J9" s="3" t="s">
        <v>8</v>
      </c>
      <c r="K9" s="3" t="s">
        <v>159</v>
      </c>
      <c r="L9" s="3">
        <v>-1500</v>
      </c>
    </row>
    <row r="10" spans="1:13" x14ac:dyDescent="0.25">
      <c r="A10" s="44">
        <f t="shared" si="1"/>
        <v>1</v>
      </c>
      <c r="B10" s="50" t="str">
        <f>VLOOKUP(K10,Lookup!$A$1:$D$34,4,FALSE)</f>
        <v>g_tfr.2.3</v>
      </c>
      <c r="C10" s="9">
        <v>43101</v>
      </c>
      <c r="D10" s="3">
        <v>2018</v>
      </c>
      <c r="E10" s="3">
        <v>1</v>
      </c>
      <c r="F10" s="3" t="s">
        <v>6</v>
      </c>
      <c r="G10" s="3">
        <v>2</v>
      </c>
      <c r="H10">
        <v>3</v>
      </c>
      <c r="I10" s="3">
        <v>2</v>
      </c>
      <c r="J10" s="3" t="s">
        <v>8</v>
      </c>
      <c r="K10" s="3" t="s">
        <v>159</v>
      </c>
      <c r="L10" s="3">
        <v>1500</v>
      </c>
    </row>
    <row r="11" spans="1:13" x14ac:dyDescent="0.25">
      <c r="A11" s="44">
        <f t="shared" si="1"/>
        <v>1</v>
      </c>
      <c r="B11" s="50" t="str">
        <f>VLOOKUP(K11,Lookup!$A$1:$D$34,4,FALSE)</f>
        <v>a_open</v>
      </c>
      <c r="C11" s="9">
        <v>43101</v>
      </c>
      <c r="D11" s="3">
        <v>2018</v>
      </c>
      <c r="E11" s="3">
        <v>1</v>
      </c>
      <c r="F11" s="3" t="s">
        <v>6</v>
      </c>
      <c r="G11" s="3">
        <v>2</v>
      </c>
      <c r="H11">
        <v>3</v>
      </c>
      <c r="I11" s="3">
        <v>2</v>
      </c>
      <c r="J11" s="3" t="s">
        <v>8</v>
      </c>
      <c r="K11" s="3" t="s">
        <v>14</v>
      </c>
      <c r="L11" s="3">
        <v>-1500</v>
      </c>
    </row>
    <row r="12" spans="1:13" x14ac:dyDescent="0.25">
      <c r="A12" s="44">
        <f t="shared" si="1"/>
        <v>1</v>
      </c>
      <c r="B12" s="50" t="str">
        <f>VLOOKUP(K12,Lookup!$A$1:$D$34,4,FALSE)</f>
        <v>zf_close</v>
      </c>
      <c r="C12" s="9">
        <v>43101</v>
      </c>
      <c r="D12" s="3">
        <v>2018</v>
      </c>
      <c r="E12" s="3">
        <v>1</v>
      </c>
      <c r="F12" s="3" t="s">
        <v>6</v>
      </c>
      <c r="G12" s="3">
        <v>2</v>
      </c>
      <c r="H12">
        <v>3</v>
      </c>
      <c r="I12" s="3">
        <v>3</v>
      </c>
      <c r="J12" s="3" t="s">
        <v>15</v>
      </c>
      <c r="K12" s="3" t="s">
        <v>9</v>
      </c>
      <c r="L12" s="3">
        <v>7500</v>
      </c>
    </row>
    <row r="13" spans="1:13" x14ac:dyDescent="0.25">
      <c r="A13" s="44">
        <f t="shared" si="1"/>
        <v>1</v>
      </c>
      <c r="B13" s="50" t="str">
        <f>VLOOKUP(K13,Lookup!$A$1:$D$34,4,FALSE)</f>
        <v>g_tfr.2.3</v>
      </c>
      <c r="C13" s="9">
        <v>43101</v>
      </c>
      <c r="D13" s="3">
        <v>2018</v>
      </c>
      <c r="E13" s="3">
        <v>1</v>
      </c>
      <c r="F13" s="3" t="s">
        <v>6</v>
      </c>
      <c r="G13" s="3">
        <v>2</v>
      </c>
      <c r="H13">
        <v>3</v>
      </c>
      <c r="I13" s="3">
        <v>3</v>
      </c>
      <c r="J13" s="3" t="s">
        <v>15</v>
      </c>
      <c r="K13" s="3" t="s">
        <v>159</v>
      </c>
      <c r="L13" s="3">
        <v>7500</v>
      </c>
    </row>
    <row r="14" spans="1:13" x14ac:dyDescent="0.25">
      <c r="A14" s="44">
        <f t="shared" si="1"/>
        <v>1</v>
      </c>
      <c r="B14" s="50" t="str">
        <f>VLOOKUP(K14,Lookup!$A$1:$D$34,4,FALSE)</f>
        <v>g_tfr.2.3</v>
      </c>
      <c r="C14" s="9">
        <v>43101</v>
      </c>
      <c r="D14" s="3">
        <v>2018</v>
      </c>
      <c r="E14" s="3">
        <v>1</v>
      </c>
      <c r="F14" s="3" t="s">
        <v>6</v>
      </c>
      <c r="G14" s="3">
        <v>2</v>
      </c>
      <c r="H14">
        <v>3</v>
      </c>
      <c r="I14" s="3">
        <v>2</v>
      </c>
      <c r="J14" s="3" t="s">
        <v>15</v>
      </c>
      <c r="K14" s="3" t="s">
        <v>159</v>
      </c>
      <c r="L14" s="3">
        <v>-7500</v>
      </c>
    </row>
    <row r="15" spans="1:13" x14ac:dyDescent="0.25">
      <c r="A15" s="44">
        <f t="shared" si="1"/>
        <v>1</v>
      </c>
      <c r="B15" s="50" t="str">
        <f>VLOOKUP(K15,Lookup!$A$1:$D$34,4,FALSE)</f>
        <v>a_open</v>
      </c>
      <c r="C15" s="9">
        <v>43101</v>
      </c>
      <c r="D15" s="3">
        <v>2018</v>
      </c>
      <c r="E15" s="3">
        <v>1</v>
      </c>
      <c r="F15" s="3" t="s">
        <v>6</v>
      </c>
      <c r="G15" s="3">
        <v>2</v>
      </c>
      <c r="H15">
        <v>3</v>
      </c>
      <c r="I15" s="3">
        <v>2</v>
      </c>
      <c r="J15" s="3" t="s">
        <v>15</v>
      </c>
      <c r="K15" s="3" t="s">
        <v>14</v>
      </c>
      <c r="L15" s="3">
        <v>7500</v>
      </c>
    </row>
    <row r="16" spans="1:13" x14ac:dyDescent="0.25">
      <c r="A16" s="44">
        <f t="shared" si="1"/>
        <v>1</v>
      </c>
      <c r="B16" s="50" t="str">
        <f>VLOOKUP(K16,Lookup!$A$1:$D$34,4,FALSE)</f>
        <v>v_repay_rvlv</v>
      </c>
      <c r="C16" s="9">
        <v>43132</v>
      </c>
      <c r="D16" s="3">
        <v>2018</v>
      </c>
      <c r="E16" s="3">
        <v>2</v>
      </c>
      <c r="F16" s="3" t="s">
        <v>6</v>
      </c>
      <c r="G16" s="3">
        <v>3</v>
      </c>
      <c r="H16">
        <v>3</v>
      </c>
      <c r="I16" s="3">
        <v>3</v>
      </c>
      <c r="J16" s="3" t="s">
        <v>8</v>
      </c>
      <c r="K16" s="3" t="s">
        <v>10</v>
      </c>
      <c r="L16" s="3">
        <v>1400</v>
      </c>
    </row>
    <row r="17" spans="1:12" x14ac:dyDescent="0.25">
      <c r="A17" s="44">
        <f t="shared" si="1"/>
        <v>1</v>
      </c>
      <c r="B17" s="50" t="str">
        <f>VLOOKUP(K17,Lookup!$A$1:$D$34,4,FALSE)</f>
        <v>za_re-measure_no_migr</v>
      </c>
      <c r="C17" s="9">
        <v>43132</v>
      </c>
      <c r="D17" s="3">
        <v>2018</v>
      </c>
      <c r="E17" s="3">
        <v>2</v>
      </c>
      <c r="F17" s="3" t="s">
        <v>6</v>
      </c>
      <c r="G17" s="3">
        <v>3</v>
      </c>
      <c r="H17">
        <v>3</v>
      </c>
      <c r="I17" s="3">
        <v>3</v>
      </c>
      <c r="J17" s="3" t="s">
        <v>8</v>
      </c>
      <c r="K17" s="3" t="s">
        <v>11</v>
      </c>
      <c r="L17" s="3">
        <v>-2400</v>
      </c>
    </row>
    <row r="18" spans="1:12" x14ac:dyDescent="0.25">
      <c r="A18" s="44">
        <f t="shared" si="1"/>
        <v>1</v>
      </c>
      <c r="B18" s="50" t="str">
        <f>VLOOKUP(K18,Lookup!$A$1:$D$34,4,FALSE)</f>
        <v>ze_write_off</v>
      </c>
      <c r="C18" s="9">
        <v>43132</v>
      </c>
      <c r="D18" s="3">
        <v>2018</v>
      </c>
      <c r="E18" s="3">
        <v>2</v>
      </c>
      <c r="F18" s="3" t="s">
        <v>6</v>
      </c>
      <c r="G18" s="3">
        <v>3</v>
      </c>
      <c r="H18">
        <v>3</v>
      </c>
      <c r="I18" s="3">
        <v>3</v>
      </c>
      <c r="J18" s="3" t="s">
        <v>8</v>
      </c>
      <c r="K18" s="3" t="s">
        <v>13</v>
      </c>
      <c r="L18" s="3">
        <v>4000</v>
      </c>
    </row>
    <row r="19" spans="1:12" x14ac:dyDescent="0.25">
      <c r="A19" s="44">
        <f t="shared" si="1"/>
        <v>1</v>
      </c>
      <c r="B19" s="50" t="str">
        <f>VLOOKUP(K19,Lookup!$A$1:$D$34,4,FALSE)</f>
        <v>a_open</v>
      </c>
      <c r="C19" s="9">
        <v>43132</v>
      </c>
      <c r="D19" s="3">
        <v>2018</v>
      </c>
      <c r="E19" s="3">
        <v>2</v>
      </c>
      <c r="F19" s="3" t="s">
        <v>6</v>
      </c>
      <c r="G19" s="3">
        <v>3</v>
      </c>
      <c r="H19">
        <v>3</v>
      </c>
      <c r="I19" s="3">
        <v>3</v>
      </c>
      <c r="J19" s="3" t="s">
        <v>8</v>
      </c>
      <c r="K19" s="3" t="s">
        <v>14</v>
      </c>
      <c r="L19" s="3">
        <v>-3000</v>
      </c>
    </row>
    <row r="20" spans="1:12" x14ac:dyDescent="0.25">
      <c r="A20" s="44">
        <f t="shared" si="1"/>
        <v>1</v>
      </c>
      <c r="B20" s="50" t="str">
        <f>VLOOKUP(K20,Lookup!$A$1:$D$34,4,FALSE)</f>
        <v>v_repay_rvlv</v>
      </c>
      <c r="C20" s="9">
        <v>43132</v>
      </c>
      <c r="D20" s="3">
        <v>2018</v>
      </c>
      <c r="E20" s="3">
        <v>2</v>
      </c>
      <c r="F20" s="3" t="s">
        <v>6</v>
      </c>
      <c r="G20" s="3">
        <v>3</v>
      </c>
      <c r="H20">
        <v>3</v>
      </c>
      <c r="I20" s="3">
        <v>3</v>
      </c>
      <c r="J20" s="3" t="s">
        <v>15</v>
      </c>
      <c r="K20" s="3" t="s">
        <v>10</v>
      </c>
      <c r="L20" s="3">
        <v>-3500</v>
      </c>
    </row>
    <row r="21" spans="1:12" x14ac:dyDescent="0.25">
      <c r="A21" s="44">
        <f t="shared" si="1"/>
        <v>1</v>
      </c>
      <c r="B21" s="50" t="str">
        <f>VLOOKUP(K21,Lookup!$A$1:$D$34,4,FALSE)</f>
        <v>ze_write_off</v>
      </c>
      <c r="C21" s="9">
        <v>43132</v>
      </c>
      <c r="D21" s="3">
        <v>2018</v>
      </c>
      <c r="E21" s="3">
        <v>2</v>
      </c>
      <c r="F21" s="3" t="s">
        <v>6</v>
      </c>
      <c r="G21" s="3">
        <v>3</v>
      </c>
      <c r="H21">
        <v>3</v>
      </c>
      <c r="I21" s="3">
        <v>3</v>
      </c>
      <c r="J21" s="3" t="s">
        <v>15</v>
      </c>
      <c r="K21" s="3" t="s">
        <v>13</v>
      </c>
      <c r="L21" s="3">
        <v>-4000</v>
      </c>
    </row>
    <row r="22" spans="1:12" x14ac:dyDescent="0.25">
      <c r="A22" s="44">
        <f t="shared" si="1"/>
        <v>1</v>
      </c>
      <c r="B22" s="50" t="str">
        <f>VLOOKUP(K22,Lookup!$A$1:$D$34,4,FALSE)</f>
        <v>a_open</v>
      </c>
      <c r="C22" s="9">
        <v>43132</v>
      </c>
      <c r="D22" s="3">
        <v>2018</v>
      </c>
      <c r="E22" s="3">
        <v>2</v>
      </c>
      <c r="F22" s="3" t="s">
        <v>6</v>
      </c>
      <c r="G22" s="3">
        <v>3</v>
      </c>
      <c r="H22">
        <v>3</v>
      </c>
      <c r="I22" s="3">
        <v>3</v>
      </c>
      <c r="J22" s="3" t="s">
        <v>15</v>
      </c>
      <c r="K22" s="3" t="s">
        <v>14</v>
      </c>
      <c r="L22" s="3">
        <v>7500</v>
      </c>
    </row>
    <row r="23" spans="1:12" x14ac:dyDescent="0.25">
      <c r="A23" s="44">
        <f t="shared" si="1"/>
        <v>0</v>
      </c>
      <c r="B23" s="50" t="str">
        <f>VLOOKUP(K23,Lookup!$A$1:$D$34,4,FALSE)</f>
        <v>zf_close</v>
      </c>
      <c r="C23" s="9">
        <v>43070</v>
      </c>
      <c r="D23" s="3">
        <v>2017</v>
      </c>
      <c r="E23" s="3">
        <v>12</v>
      </c>
      <c r="F23" s="3" t="s">
        <v>16</v>
      </c>
      <c r="G23" s="3" t="s">
        <v>58</v>
      </c>
      <c r="H23">
        <v>2</v>
      </c>
      <c r="I23" s="3">
        <v>2</v>
      </c>
      <c r="J23" s="3" t="s">
        <v>8</v>
      </c>
      <c r="K23" s="3" t="s">
        <v>9</v>
      </c>
      <c r="L23" s="3">
        <v>-1500</v>
      </c>
    </row>
    <row r="24" spans="1:12" x14ac:dyDescent="0.25">
      <c r="A24" s="44">
        <f t="shared" si="1"/>
        <v>0</v>
      </c>
      <c r="B24" s="50" t="str">
        <f>VLOOKUP(K24,Lookup!$A$1:$D$34,4,FALSE)</f>
        <v>zf_close</v>
      </c>
      <c r="C24" s="9">
        <v>43070</v>
      </c>
      <c r="D24" s="3">
        <v>2017</v>
      </c>
      <c r="E24" s="3">
        <v>12</v>
      </c>
      <c r="F24" s="3" t="s">
        <v>16</v>
      </c>
      <c r="G24" s="3" t="s">
        <v>58</v>
      </c>
      <c r="H24">
        <v>2</v>
      </c>
      <c r="I24" s="3">
        <v>2</v>
      </c>
      <c r="J24" s="3" t="s">
        <v>15</v>
      </c>
      <c r="K24" s="3" t="s">
        <v>9</v>
      </c>
      <c r="L24" s="3">
        <v>7550</v>
      </c>
    </row>
    <row r="25" spans="1:12" x14ac:dyDescent="0.25">
      <c r="A25" s="44">
        <f t="shared" si="1"/>
        <v>1</v>
      </c>
      <c r="B25" s="50" t="str">
        <f>VLOOKUP(K25,Lookup!$A$1:$D$34,4,FALSE)</f>
        <v>zf_close</v>
      </c>
      <c r="C25" s="9">
        <v>43101</v>
      </c>
      <c r="D25" s="3">
        <v>2018</v>
      </c>
      <c r="E25" s="3">
        <v>1</v>
      </c>
      <c r="F25" s="3" t="s">
        <v>16</v>
      </c>
      <c r="G25" s="3">
        <v>2</v>
      </c>
      <c r="H25">
        <v>3</v>
      </c>
      <c r="I25" s="3">
        <v>3</v>
      </c>
      <c r="J25" s="3" t="s">
        <v>8</v>
      </c>
      <c r="K25" s="3" t="s">
        <v>9</v>
      </c>
      <c r="L25" s="3">
        <v>-3000</v>
      </c>
    </row>
    <row r="26" spans="1:12" x14ac:dyDescent="0.25">
      <c r="A26" s="44">
        <f t="shared" si="1"/>
        <v>1</v>
      </c>
      <c r="B26" s="50" t="str">
        <f>VLOOKUP(K26,Lookup!$A$1:$D$34,4,FALSE)</f>
        <v>zb_re-measure_migr</v>
      </c>
      <c r="C26" s="9">
        <v>43101</v>
      </c>
      <c r="D26" s="3">
        <v>2018</v>
      </c>
      <c r="E26" s="3">
        <v>1</v>
      </c>
      <c r="F26" s="3" t="s">
        <v>16</v>
      </c>
      <c r="G26" s="3">
        <v>2</v>
      </c>
      <c r="H26">
        <v>3</v>
      </c>
      <c r="I26" s="3">
        <v>3</v>
      </c>
      <c r="J26" s="3" t="s">
        <v>8</v>
      </c>
      <c r="K26" s="3" t="s">
        <v>12</v>
      </c>
      <c r="L26" s="3">
        <v>-1500</v>
      </c>
    </row>
    <row r="27" spans="1:12" x14ac:dyDescent="0.25">
      <c r="A27" s="44">
        <f t="shared" si="1"/>
        <v>1</v>
      </c>
      <c r="B27" s="50" t="str">
        <f>VLOOKUP(K27,Lookup!$A$1:$D$34,4,FALSE)</f>
        <v>g_tfr.2.3</v>
      </c>
      <c r="C27" s="9">
        <v>43101</v>
      </c>
      <c r="D27" s="3">
        <v>2018</v>
      </c>
      <c r="E27" s="3">
        <v>1</v>
      </c>
      <c r="F27" s="3" t="s">
        <v>16</v>
      </c>
      <c r="G27" s="3">
        <v>2</v>
      </c>
      <c r="H27">
        <v>3</v>
      </c>
      <c r="I27" s="3">
        <v>3</v>
      </c>
      <c r="J27" s="3" t="s">
        <v>8</v>
      </c>
      <c r="K27" s="3" t="s">
        <v>159</v>
      </c>
      <c r="L27" s="3">
        <v>-1500</v>
      </c>
    </row>
    <row r="28" spans="1:12" x14ac:dyDescent="0.25">
      <c r="A28" s="44">
        <f t="shared" si="1"/>
        <v>1</v>
      </c>
      <c r="B28" s="50" t="str">
        <f>VLOOKUP(K28,Lookup!$A$1:$D$34,4,FALSE)</f>
        <v>g_tfr.2.3</v>
      </c>
      <c r="C28" s="9">
        <v>43101</v>
      </c>
      <c r="D28" s="3">
        <v>2018</v>
      </c>
      <c r="E28" s="3">
        <v>1</v>
      </c>
      <c r="F28" s="3" t="s">
        <v>16</v>
      </c>
      <c r="G28" s="3">
        <v>2</v>
      </c>
      <c r="H28">
        <v>3</v>
      </c>
      <c r="I28" s="3">
        <v>2</v>
      </c>
      <c r="J28" s="3" t="s">
        <v>8</v>
      </c>
      <c r="K28" s="3" t="s">
        <v>159</v>
      </c>
      <c r="L28" s="3">
        <v>1500</v>
      </c>
    </row>
    <row r="29" spans="1:12" x14ac:dyDescent="0.25">
      <c r="A29" s="44">
        <f t="shared" si="1"/>
        <v>1</v>
      </c>
      <c r="B29" s="50" t="str">
        <f>VLOOKUP(K29,Lookup!$A$1:$D$34,4,FALSE)</f>
        <v>a_open</v>
      </c>
      <c r="C29" s="9">
        <v>43101</v>
      </c>
      <c r="D29" s="3">
        <v>2018</v>
      </c>
      <c r="E29" s="3">
        <v>1</v>
      </c>
      <c r="F29" s="3" t="s">
        <v>16</v>
      </c>
      <c r="G29" s="3">
        <v>2</v>
      </c>
      <c r="H29">
        <v>3</v>
      </c>
      <c r="I29" s="3">
        <v>2</v>
      </c>
      <c r="J29" s="3" t="s">
        <v>8</v>
      </c>
      <c r="K29" s="3" t="s">
        <v>14</v>
      </c>
      <c r="L29" s="3">
        <v>-1500</v>
      </c>
    </row>
    <row r="30" spans="1:12" x14ac:dyDescent="0.25">
      <c r="A30" s="44">
        <f t="shared" si="1"/>
        <v>1</v>
      </c>
      <c r="B30" s="50" t="str">
        <f>VLOOKUP(K30,Lookup!$A$1:$D$34,4,FALSE)</f>
        <v>zf_close</v>
      </c>
      <c r="C30" s="9">
        <v>43101</v>
      </c>
      <c r="D30" s="3">
        <v>2018</v>
      </c>
      <c r="E30" s="3">
        <v>1</v>
      </c>
      <c r="F30" s="3" t="s">
        <v>16</v>
      </c>
      <c r="G30" s="3">
        <v>2</v>
      </c>
      <c r="H30">
        <v>3</v>
      </c>
      <c r="I30" s="3">
        <v>3</v>
      </c>
      <c r="J30" s="3" t="s">
        <v>15</v>
      </c>
      <c r="K30" s="3" t="s">
        <v>9</v>
      </c>
      <c r="L30" s="3">
        <v>7540</v>
      </c>
    </row>
    <row r="31" spans="1:12" x14ac:dyDescent="0.25">
      <c r="A31" s="44">
        <f t="shared" si="1"/>
        <v>1</v>
      </c>
      <c r="B31" s="50" t="str">
        <f>VLOOKUP(K31,Lookup!$A$1:$D$34,4,FALSE)</f>
        <v>zd_other</v>
      </c>
      <c r="C31" s="9">
        <v>43101</v>
      </c>
      <c r="D31" s="3">
        <v>2018</v>
      </c>
      <c r="E31" s="3">
        <v>1</v>
      </c>
      <c r="F31" s="3" t="s">
        <v>16</v>
      </c>
      <c r="G31" s="3">
        <v>2</v>
      </c>
      <c r="H31">
        <v>3</v>
      </c>
      <c r="I31" s="3">
        <v>3</v>
      </c>
      <c r="J31" s="3" t="s">
        <v>15</v>
      </c>
      <c r="K31" s="3" t="s">
        <v>18</v>
      </c>
      <c r="L31" s="3">
        <v>-10</v>
      </c>
    </row>
    <row r="32" spans="1:12" x14ac:dyDescent="0.25">
      <c r="A32" s="44">
        <f t="shared" si="1"/>
        <v>1</v>
      </c>
      <c r="B32" s="50" t="str">
        <f>VLOOKUP(K32,Lookup!$A$1:$D$34,4,FALSE)</f>
        <v>g_tfr.2.3</v>
      </c>
      <c r="C32" s="9">
        <v>43101</v>
      </c>
      <c r="D32" s="3">
        <v>2018</v>
      </c>
      <c r="E32" s="3">
        <v>1</v>
      </c>
      <c r="F32" s="3" t="s">
        <v>16</v>
      </c>
      <c r="G32" s="3">
        <v>2</v>
      </c>
      <c r="H32">
        <v>3</v>
      </c>
      <c r="I32" s="3">
        <v>3</v>
      </c>
      <c r="J32" s="3" t="s">
        <v>15</v>
      </c>
      <c r="K32" s="3" t="s">
        <v>159</v>
      </c>
      <c r="L32" s="3">
        <v>7550</v>
      </c>
    </row>
    <row r="33" spans="1:12" x14ac:dyDescent="0.25">
      <c r="A33" s="44">
        <f t="shared" si="1"/>
        <v>1</v>
      </c>
      <c r="B33" s="50" t="str">
        <f>VLOOKUP(K33,Lookup!$A$1:$D$34,4,FALSE)</f>
        <v>g_tfr.2.3</v>
      </c>
      <c r="C33" s="9">
        <v>43101</v>
      </c>
      <c r="D33" s="3">
        <v>2018</v>
      </c>
      <c r="E33" s="3">
        <v>1</v>
      </c>
      <c r="F33" s="3" t="s">
        <v>16</v>
      </c>
      <c r="G33" s="3">
        <v>2</v>
      </c>
      <c r="H33">
        <v>3</v>
      </c>
      <c r="I33" s="3">
        <v>2</v>
      </c>
      <c r="J33" s="3" t="s">
        <v>15</v>
      </c>
      <c r="K33" s="3" t="s">
        <v>159</v>
      </c>
      <c r="L33" s="3">
        <v>-7550</v>
      </c>
    </row>
    <row r="34" spans="1:12" x14ac:dyDescent="0.25">
      <c r="A34" s="44">
        <f t="shared" si="1"/>
        <v>1</v>
      </c>
      <c r="B34" s="50" t="str">
        <f>VLOOKUP(K34,Lookup!$A$1:$D$34,4,FALSE)</f>
        <v>a_open</v>
      </c>
      <c r="C34" s="9">
        <v>43101</v>
      </c>
      <c r="D34" s="3">
        <v>2018</v>
      </c>
      <c r="E34" s="3">
        <v>1</v>
      </c>
      <c r="F34" s="3" t="s">
        <v>16</v>
      </c>
      <c r="G34" s="3">
        <v>2</v>
      </c>
      <c r="H34">
        <v>3</v>
      </c>
      <c r="I34" s="3">
        <v>2</v>
      </c>
      <c r="J34" s="3" t="s">
        <v>15</v>
      </c>
      <c r="K34" s="3" t="s">
        <v>14</v>
      </c>
      <c r="L34" s="3">
        <v>7550</v>
      </c>
    </row>
    <row r="35" spans="1:12" x14ac:dyDescent="0.25">
      <c r="A35" s="44">
        <f t="shared" si="1"/>
        <v>1</v>
      </c>
      <c r="B35" s="50" t="str">
        <f>VLOOKUP(K35,Lookup!$A$1:$D$34,4,FALSE)</f>
        <v>z_repay_term_final</v>
      </c>
      <c r="C35" s="9">
        <v>43132</v>
      </c>
      <c r="D35" s="3">
        <v>2018</v>
      </c>
      <c r="E35" s="3">
        <v>2</v>
      </c>
      <c r="F35" s="3" t="s">
        <v>16</v>
      </c>
      <c r="G35" s="3">
        <v>3</v>
      </c>
      <c r="H35">
        <v>3</v>
      </c>
      <c r="I35" s="3">
        <v>3</v>
      </c>
      <c r="J35" s="3" t="s">
        <v>8</v>
      </c>
      <c r="K35" s="3" t="s">
        <v>17</v>
      </c>
      <c r="L35" s="3">
        <v>1400</v>
      </c>
    </row>
    <row r="36" spans="1:12" x14ac:dyDescent="0.25">
      <c r="A36" s="44">
        <f t="shared" si="1"/>
        <v>1</v>
      </c>
      <c r="B36" s="50" t="str">
        <f>VLOOKUP(K36,Lookup!$A$1:$D$34,4,FALSE)</f>
        <v>za_re-measure_no_migr</v>
      </c>
      <c r="C36" s="9">
        <v>43132</v>
      </c>
      <c r="D36" s="3">
        <v>2018</v>
      </c>
      <c r="E36" s="3">
        <v>2</v>
      </c>
      <c r="F36" s="3" t="s">
        <v>16</v>
      </c>
      <c r="G36" s="3">
        <v>3</v>
      </c>
      <c r="H36">
        <v>3</v>
      </c>
      <c r="I36" s="3">
        <v>3</v>
      </c>
      <c r="J36" s="3" t="s">
        <v>8</v>
      </c>
      <c r="K36" s="3" t="s">
        <v>11</v>
      </c>
      <c r="L36" s="3">
        <v>-2400</v>
      </c>
    </row>
    <row r="37" spans="1:12" x14ac:dyDescent="0.25">
      <c r="A37" s="44">
        <f t="shared" si="1"/>
        <v>1</v>
      </c>
      <c r="B37" s="50" t="str">
        <f>VLOOKUP(K37,Lookup!$A$1:$D$34,4,FALSE)</f>
        <v>ze_write_off</v>
      </c>
      <c r="C37" s="9">
        <v>43132</v>
      </c>
      <c r="D37" s="3">
        <v>2018</v>
      </c>
      <c r="E37" s="3">
        <v>2</v>
      </c>
      <c r="F37" s="3" t="s">
        <v>16</v>
      </c>
      <c r="G37" s="3">
        <v>3</v>
      </c>
      <c r="H37">
        <v>3</v>
      </c>
      <c r="I37" s="3">
        <v>3</v>
      </c>
      <c r="J37" s="3" t="s">
        <v>8</v>
      </c>
      <c r="K37" s="3" t="s">
        <v>13</v>
      </c>
      <c r="L37" s="3">
        <v>4000</v>
      </c>
    </row>
    <row r="38" spans="1:12" x14ac:dyDescent="0.25">
      <c r="A38" s="44">
        <f t="shared" si="1"/>
        <v>1</v>
      </c>
      <c r="B38" s="50" t="str">
        <f>VLOOKUP(K38,Lookup!$A$1:$D$34,4,FALSE)</f>
        <v>a_open</v>
      </c>
      <c r="C38" s="9">
        <v>43132</v>
      </c>
      <c r="D38" s="3">
        <v>2018</v>
      </c>
      <c r="E38" s="3">
        <v>2</v>
      </c>
      <c r="F38" s="3" t="s">
        <v>16</v>
      </c>
      <c r="G38" s="3">
        <v>3</v>
      </c>
      <c r="H38">
        <v>3</v>
      </c>
      <c r="I38" s="3">
        <v>3</v>
      </c>
      <c r="J38" s="3" t="s">
        <v>8</v>
      </c>
      <c r="K38" s="3" t="s">
        <v>14</v>
      </c>
      <c r="L38" s="3">
        <v>-3000</v>
      </c>
    </row>
    <row r="39" spans="1:12" x14ac:dyDescent="0.25">
      <c r="A39" s="44">
        <f t="shared" si="1"/>
        <v>1</v>
      </c>
      <c r="B39" s="50" t="str">
        <f>VLOOKUP(K39,Lookup!$A$1:$D$34,4,FALSE)</f>
        <v>zf_close</v>
      </c>
      <c r="C39" s="9">
        <v>43132</v>
      </c>
      <c r="D39" s="3">
        <v>2018</v>
      </c>
      <c r="E39" s="3">
        <v>2</v>
      </c>
      <c r="F39" s="3" t="s">
        <v>16</v>
      </c>
      <c r="G39" s="3">
        <v>3</v>
      </c>
      <c r="H39">
        <v>3</v>
      </c>
      <c r="I39" s="3">
        <v>3</v>
      </c>
      <c r="J39" s="3" t="s">
        <v>15</v>
      </c>
      <c r="K39" s="3" t="s">
        <v>9</v>
      </c>
      <c r="L39" s="3">
        <v>30</v>
      </c>
    </row>
    <row r="40" spans="1:12" x14ac:dyDescent="0.25">
      <c r="A40" s="44">
        <f t="shared" si="1"/>
        <v>1</v>
      </c>
      <c r="B40" s="50" t="str">
        <f>VLOOKUP(K40,Lookup!$A$1:$D$34,4,FALSE)</f>
        <v>zd_other</v>
      </c>
      <c r="C40" s="9">
        <v>43132</v>
      </c>
      <c r="D40" s="3">
        <v>2018</v>
      </c>
      <c r="E40" s="3">
        <v>2</v>
      </c>
      <c r="F40" s="3" t="s">
        <v>16</v>
      </c>
      <c r="G40" s="3">
        <v>3</v>
      </c>
      <c r="H40">
        <v>3</v>
      </c>
      <c r="I40" s="3">
        <v>3</v>
      </c>
      <c r="J40" s="3" t="s">
        <v>15</v>
      </c>
      <c r="K40" s="3" t="s">
        <v>18</v>
      </c>
      <c r="L40" s="3">
        <v>-10</v>
      </c>
    </row>
    <row r="41" spans="1:12" x14ac:dyDescent="0.25">
      <c r="A41" s="44">
        <f t="shared" si="1"/>
        <v>1</v>
      </c>
      <c r="B41" s="50" t="str">
        <f>VLOOKUP(K41,Lookup!$A$1:$D$34,4,FALSE)</f>
        <v>z_repay_term_final</v>
      </c>
      <c r="C41" s="9">
        <v>43132</v>
      </c>
      <c r="D41" s="3">
        <v>2018</v>
      </c>
      <c r="E41" s="3">
        <v>2</v>
      </c>
      <c r="F41" s="3" t="s">
        <v>16</v>
      </c>
      <c r="G41" s="3">
        <v>3</v>
      </c>
      <c r="H41">
        <v>3</v>
      </c>
      <c r="I41" s="3">
        <v>3</v>
      </c>
      <c r="J41" s="3" t="s">
        <v>15</v>
      </c>
      <c r="K41" s="3" t="s">
        <v>17</v>
      </c>
      <c r="L41" s="3">
        <v>-3500</v>
      </c>
    </row>
    <row r="42" spans="1:12" x14ac:dyDescent="0.25">
      <c r="A42" s="44">
        <f t="shared" si="1"/>
        <v>1</v>
      </c>
      <c r="B42" s="50" t="str">
        <f>VLOOKUP(K42,Lookup!$A$1:$D$34,4,FALSE)</f>
        <v>ze_write_off</v>
      </c>
      <c r="C42" s="9">
        <v>43132</v>
      </c>
      <c r="D42" s="3">
        <v>2018</v>
      </c>
      <c r="E42" s="3">
        <v>2</v>
      </c>
      <c r="F42" s="3" t="s">
        <v>16</v>
      </c>
      <c r="G42" s="3">
        <v>3</v>
      </c>
      <c r="H42">
        <v>3</v>
      </c>
      <c r="I42" s="3">
        <v>3</v>
      </c>
      <c r="J42" s="3" t="s">
        <v>15</v>
      </c>
      <c r="K42" s="3" t="s">
        <v>13</v>
      </c>
      <c r="L42" s="3">
        <v>-4000</v>
      </c>
    </row>
    <row r="43" spans="1:12" x14ac:dyDescent="0.25">
      <c r="A43" s="44">
        <f t="shared" si="1"/>
        <v>1</v>
      </c>
      <c r="B43" s="50" t="str">
        <f>VLOOKUP(K43,Lookup!$A$1:$D$34,4,FALSE)</f>
        <v>a_open</v>
      </c>
      <c r="C43" s="9">
        <v>43132</v>
      </c>
      <c r="D43" s="3">
        <v>2018</v>
      </c>
      <c r="E43" s="3">
        <v>2</v>
      </c>
      <c r="F43" s="3" t="s">
        <v>16</v>
      </c>
      <c r="G43" s="3">
        <v>3</v>
      </c>
      <c r="H43">
        <v>3</v>
      </c>
      <c r="I43" s="3">
        <v>3</v>
      </c>
      <c r="J43" s="3" t="s">
        <v>15</v>
      </c>
      <c r="K43" s="3" t="s">
        <v>14</v>
      </c>
      <c r="L43" s="3">
        <v>7540</v>
      </c>
    </row>
    <row r="44" spans="1:12" x14ac:dyDescent="0.25">
      <c r="A44" s="44">
        <f t="shared" si="1"/>
        <v>1</v>
      </c>
      <c r="B44" s="50" t="str">
        <f>VLOOKUP(K44,Lookup!$A$1:$D$34,4,FALSE)</f>
        <v>zd_other</v>
      </c>
      <c r="C44" s="9">
        <v>43160</v>
      </c>
      <c r="D44" s="3">
        <v>2018</v>
      </c>
      <c r="E44" s="3">
        <v>3</v>
      </c>
      <c r="F44" s="3" t="s">
        <v>16</v>
      </c>
      <c r="G44" s="3">
        <v>3</v>
      </c>
      <c r="H44">
        <v>3</v>
      </c>
      <c r="I44" s="3">
        <v>3</v>
      </c>
      <c r="J44" s="3" t="s">
        <v>15</v>
      </c>
      <c r="K44" s="3" t="s">
        <v>18</v>
      </c>
      <c r="L44" s="3">
        <v>-30</v>
      </c>
    </row>
    <row r="45" spans="1:12" x14ac:dyDescent="0.25">
      <c r="A45" s="44">
        <f t="shared" si="1"/>
        <v>1</v>
      </c>
      <c r="B45" s="50" t="str">
        <f>VLOOKUP(K45,Lookup!$A$1:$D$34,4,FALSE)</f>
        <v>a_open</v>
      </c>
      <c r="C45" s="9">
        <v>43160</v>
      </c>
      <c r="D45" s="3">
        <v>2018</v>
      </c>
      <c r="E45" s="3">
        <v>3</v>
      </c>
      <c r="F45" s="3" t="s">
        <v>16</v>
      </c>
      <c r="G45" s="3">
        <v>3</v>
      </c>
      <c r="H45">
        <v>3</v>
      </c>
      <c r="I45" s="3">
        <v>3</v>
      </c>
      <c r="J45" s="3" t="s">
        <v>15</v>
      </c>
      <c r="K45" s="3" t="s">
        <v>14</v>
      </c>
      <c r="L45" s="3">
        <v>30</v>
      </c>
    </row>
    <row r="46" spans="1:12" x14ac:dyDescent="0.25">
      <c r="A46" s="44">
        <f t="shared" si="1"/>
        <v>0</v>
      </c>
      <c r="B46" s="50" t="str">
        <f>VLOOKUP(K46,Lookup!$A$1:$D$34,4,FALSE)</f>
        <v>zf_close</v>
      </c>
      <c r="C46" s="9">
        <v>43070</v>
      </c>
      <c r="D46" s="3">
        <v>2017</v>
      </c>
      <c r="E46" s="3">
        <v>12</v>
      </c>
      <c r="F46" s="3" t="s">
        <v>19</v>
      </c>
      <c r="G46" s="3" t="s">
        <v>58</v>
      </c>
      <c r="H46">
        <v>2</v>
      </c>
      <c r="I46" s="3">
        <v>2</v>
      </c>
      <c r="J46" s="3" t="s">
        <v>8</v>
      </c>
      <c r="K46" s="3" t="s">
        <v>9</v>
      </c>
      <c r="L46" s="3">
        <v>-1500</v>
      </c>
    </row>
    <row r="47" spans="1:12" x14ac:dyDescent="0.25">
      <c r="A47" s="44">
        <f t="shared" si="1"/>
        <v>0</v>
      </c>
      <c r="B47" s="50" t="str">
        <f>VLOOKUP(K47,Lookup!$A$1:$D$34,4,FALSE)</f>
        <v>zf_close</v>
      </c>
      <c r="C47" s="9">
        <v>43070</v>
      </c>
      <c r="D47" s="3">
        <v>2017</v>
      </c>
      <c r="E47" s="3">
        <v>12</v>
      </c>
      <c r="F47" s="3" t="s">
        <v>19</v>
      </c>
      <c r="G47" s="3" t="s">
        <v>58</v>
      </c>
      <c r="H47">
        <v>2</v>
      </c>
      <c r="I47" s="3">
        <v>2</v>
      </c>
      <c r="J47" s="3" t="s">
        <v>15</v>
      </c>
      <c r="K47" s="3" t="s">
        <v>9</v>
      </c>
      <c r="L47" s="3">
        <v>7550</v>
      </c>
    </row>
    <row r="48" spans="1:12" x14ac:dyDescent="0.25">
      <c r="A48" s="44">
        <f t="shared" si="1"/>
        <v>1</v>
      </c>
      <c r="B48" s="50" t="str">
        <f>VLOOKUP(K48,Lookup!$A$1:$D$34,4,FALSE)</f>
        <v>zf_close</v>
      </c>
      <c r="C48" s="9">
        <v>43101</v>
      </c>
      <c r="D48" s="3">
        <v>2018</v>
      </c>
      <c r="E48" s="3">
        <v>1</v>
      </c>
      <c r="F48" s="3" t="s">
        <v>19</v>
      </c>
      <c r="G48" s="3">
        <v>2</v>
      </c>
      <c r="H48">
        <v>3</v>
      </c>
      <c r="I48" s="3">
        <v>3</v>
      </c>
      <c r="J48" s="3" t="s">
        <v>8</v>
      </c>
      <c r="K48" s="3" t="s">
        <v>9</v>
      </c>
      <c r="L48" s="3">
        <v>-3000</v>
      </c>
    </row>
    <row r="49" spans="1:12" x14ac:dyDescent="0.25">
      <c r="A49" s="44">
        <f t="shared" si="1"/>
        <v>1</v>
      </c>
      <c r="B49" s="50" t="str">
        <f>VLOOKUP(K49,Lookup!$A$1:$D$34,4,FALSE)</f>
        <v>zb_re-measure_migr</v>
      </c>
      <c r="C49" s="9">
        <v>43101</v>
      </c>
      <c r="D49" s="3">
        <v>2018</v>
      </c>
      <c r="E49" s="3">
        <v>1</v>
      </c>
      <c r="F49" s="3" t="s">
        <v>19</v>
      </c>
      <c r="G49" s="3">
        <v>2</v>
      </c>
      <c r="H49">
        <v>3</v>
      </c>
      <c r="I49" s="3">
        <v>3</v>
      </c>
      <c r="J49" s="3" t="s">
        <v>8</v>
      </c>
      <c r="K49" s="3" t="s">
        <v>12</v>
      </c>
      <c r="L49" s="3">
        <v>-1500</v>
      </c>
    </row>
    <row r="50" spans="1:12" x14ac:dyDescent="0.25">
      <c r="A50" s="44">
        <f t="shared" si="1"/>
        <v>1</v>
      </c>
      <c r="B50" s="50" t="str">
        <f>VLOOKUP(K50,Lookup!$A$1:$D$34,4,FALSE)</f>
        <v>g_tfr.2.3</v>
      </c>
      <c r="C50" s="9">
        <v>43101</v>
      </c>
      <c r="D50" s="3">
        <v>2018</v>
      </c>
      <c r="E50" s="3">
        <v>1</v>
      </c>
      <c r="F50" s="3" t="s">
        <v>19</v>
      </c>
      <c r="G50" s="3">
        <v>2</v>
      </c>
      <c r="H50">
        <v>3</v>
      </c>
      <c r="I50" s="3">
        <v>3</v>
      </c>
      <c r="J50" s="3" t="s">
        <v>8</v>
      </c>
      <c r="K50" s="3" t="s">
        <v>159</v>
      </c>
      <c r="L50" s="3">
        <v>-1500</v>
      </c>
    </row>
    <row r="51" spans="1:12" x14ac:dyDescent="0.25">
      <c r="A51" s="44">
        <f t="shared" si="1"/>
        <v>1</v>
      </c>
      <c r="B51" s="50" t="str">
        <f>VLOOKUP(K51,Lookup!$A$1:$D$34,4,FALSE)</f>
        <v>g_tfr.2.3</v>
      </c>
      <c r="C51" s="9">
        <v>43101</v>
      </c>
      <c r="D51" s="3">
        <v>2018</v>
      </c>
      <c r="E51" s="3">
        <v>1</v>
      </c>
      <c r="F51" s="3" t="s">
        <v>19</v>
      </c>
      <c r="G51" s="3">
        <v>2</v>
      </c>
      <c r="H51">
        <v>3</v>
      </c>
      <c r="I51" s="3">
        <v>2</v>
      </c>
      <c r="J51" s="3" t="s">
        <v>8</v>
      </c>
      <c r="K51" s="3" t="s">
        <v>159</v>
      </c>
      <c r="L51" s="3">
        <v>1500</v>
      </c>
    </row>
    <row r="52" spans="1:12" x14ac:dyDescent="0.25">
      <c r="A52" s="44">
        <f t="shared" si="1"/>
        <v>1</v>
      </c>
      <c r="B52" s="50" t="str">
        <f>VLOOKUP(K52,Lookup!$A$1:$D$34,4,FALSE)</f>
        <v>a_open</v>
      </c>
      <c r="C52" s="9">
        <v>43101</v>
      </c>
      <c r="D52" s="3">
        <v>2018</v>
      </c>
      <c r="E52" s="3">
        <v>1</v>
      </c>
      <c r="F52" s="3" t="s">
        <v>19</v>
      </c>
      <c r="G52" s="3">
        <v>2</v>
      </c>
      <c r="H52">
        <v>3</v>
      </c>
      <c r="I52" s="3">
        <v>2</v>
      </c>
      <c r="J52" s="3" t="s">
        <v>8</v>
      </c>
      <c r="K52" s="3" t="s">
        <v>14</v>
      </c>
      <c r="L52" s="3">
        <v>-1500</v>
      </c>
    </row>
    <row r="53" spans="1:12" x14ac:dyDescent="0.25">
      <c r="A53" s="44">
        <f t="shared" si="1"/>
        <v>1</v>
      </c>
      <c r="B53" s="50" t="str">
        <f>VLOOKUP(K53,Lookup!$A$1:$D$34,4,FALSE)</f>
        <v>zf_close</v>
      </c>
      <c r="C53" s="9">
        <v>43101</v>
      </c>
      <c r="D53" s="3">
        <v>2018</v>
      </c>
      <c r="E53" s="3">
        <v>1</v>
      </c>
      <c r="F53" s="3" t="s">
        <v>19</v>
      </c>
      <c r="G53" s="3">
        <v>2</v>
      </c>
      <c r="H53">
        <v>3</v>
      </c>
      <c r="I53" s="3">
        <v>3</v>
      </c>
      <c r="J53" s="3" t="s">
        <v>15</v>
      </c>
      <c r="K53" s="3" t="s">
        <v>9</v>
      </c>
      <c r="L53" s="3">
        <v>7540</v>
      </c>
    </row>
    <row r="54" spans="1:12" x14ac:dyDescent="0.25">
      <c r="A54" s="44">
        <f t="shared" si="1"/>
        <v>1</v>
      </c>
      <c r="B54" s="50" t="str">
        <f>VLOOKUP(K54,Lookup!$A$1:$D$34,4,FALSE)</f>
        <v>zd_other</v>
      </c>
      <c r="C54" s="9">
        <v>43101</v>
      </c>
      <c r="D54" s="3">
        <v>2018</v>
      </c>
      <c r="E54" s="3">
        <v>1</v>
      </c>
      <c r="F54" s="3" t="s">
        <v>19</v>
      </c>
      <c r="G54" s="3">
        <v>2</v>
      </c>
      <c r="H54">
        <v>3</v>
      </c>
      <c r="I54" s="3">
        <v>3</v>
      </c>
      <c r="J54" s="3" t="s">
        <v>15</v>
      </c>
      <c r="K54" s="3" t="s">
        <v>18</v>
      </c>
      <c r="L54" s="3">
        <v>-10</v>
      </c>
    </row>
    <row r="55" spans="1:12" x14ac:dyDescent="0.25">
      <c r="A55" s="44">
        <f t="shared" si="1"/>
        <v>1</v>
      </c>
      <c r="B55" s="50" t="str">
        <f>VLOOKUP(K55,Lookup!$A$1:$D$34,4,FALSE)</f>
        <v>g_tfr.2.3</v>
      </c>
      <c r="C55" s="9">
        <v>43101</v>
      </c>
      <c r="D55" s="3">
        <v>2018</v>
      </c>
      <c r="E55" s="3">
        <v>1</v>
      </c>
      <c r="F55" s="3" t="s">
        <v>19</v>
      </c>
      <c r="G55" s="3">
        <v>2</v>
      </c>
      <c r="H55">
        <v>3</v>
      </c>
      <c r="I55" s="3">
        <v>3</v>
      </c>
      <c r="J55" s="3" t="s">
        <v>15</v>
      </c>
      <c r="K55" s="3" t="s">
        <v>159</v>
      </c>
      <c r="L55" s="3">
        <v>7550</v>
      </c>
    </row>
    <row r="56" spans="1:12" x14ac:dyDescent="0.25">
      <c r="A56" s="44">
        <f t="shared" si="1"/>
        <v>1</v>
      </c>
      <c r="B56" s="50" t="str">
        <f>VLOOKUP(K56,Lookup!$A$1:$D$34,4,FALSE)</f>
        <v>g_tfr.2.3</v>
      </c>
      <c r="C56" s="9">
        <v>43101</v>
      </c>
      <c r="D56" s="3">
        <v>2018</v>
      </c>
      <c r="E56" s="3">
        <v>1</v>
      </c>
      <c r="F56" s="3" t="s">
        <v>19</v>
      </c>
      <c r="G56" s="3">
        <v>2</v>
      </c>
      <c r="H56">
        <v>3</v>
      </c>
      <c r="I56" s="3">
        <v>2</v>
      </c>
      <c r="J56" s="3" t="s">
        <v>15</v>
      </c>
      <c r="K56" s="3" t="s">
        <v>159</v>
      </c>
      <c r="L56" s="3">
        <v>-7550</v>
      </c>
    </row>
    <row r="57" spans="1:12" x14ac:dyDescent="0.25">
      <c r="A57" s="44">
        <f t="shared" si="1"/>
        <v>1</v>
      </c>
      <c r="B57" s="50" t="str">
        <f>VLOOKUP(K57,Lookup!$A$1:$D$34,4,FALSE)</f>
        <v>a_open</v>
      </c>
      <c r="C57" s="9">
        <v>43101</v>
      </c>
      <c r="D57" s="3">
        <v>2018</v>
      </c>
      <c r="E57" s="3">
        <v>1</v>
      </c>
      <c r="F57" s="3" t="s">
        <v>19</v>
      </c>
      <c r="G57" s="3">
        <v>2</v>
      </c>
      <c r="H57">
        <v>3</v>
      </c>
      <c r="I57" s="3">
        <v>2</v>
      </c>
      <c r="J57" s="3" t="s">
        <v>15</v>
      </c>
      <c r="K57" s="3" t="s">
        <v>14</v>
      </c>
      <c r="L57" s="3">
        <v>7550</v>
      </c>
    </row>
    <row r="58" spans="1:12" x14ac:dyDescent="0.25">
      <c r="A58" s="44">
        <f t="shared" si="1"/>
        <v>1</v>
      </c>
      <c r="B58" s="50" t="str">
        <f>VLOOKUP(K58,Lookup!$A$1:$D$34,4,FALSE)</f>
        <v>z_repay_term_final</v>
      </c>
      <c r="C58" s="9">
        <v>43132</v>
      </c>
      <c r="D58" s="3">
        <v>2018</v>
      </c>
      <c r="E58" s="3">
        <v>2</v>
      </c>
      <c r="F58" s="3" t="s">
        <v>19</v>
      </c>
      <c r="G58" s="3">
        <v>3</v>
      </c>
      <c r="H58">
        <v>3</v>
      </c>
      <c r="I58" s="3">
        <v>3</v>
      </c>
      <c r="J58" s="3" t="s">
        <v>8</v>
      </c>
      <c r="K58" s="3" t="s">
        <v>17</v>
      </c>
      <c r="L58" s="3">
        <v>2200</v>
      </c>
    </row>
    <row r="59" spans="1:12" x14ac:dyDescent="0.25">
      <c r="A59" s="44">
        <f t="shared" si="1"/>
        <v>1</v>
      </c>
      <c r="B59" s="50" t="str">
        <f>VLOOKUP(K59,Lookup!$A$1:$D$34,4,FALSE)</f>
        <v>za_re-measure_no_migr</v>
      </c>
      <c r="C59" s="9">
        <v>43132</v>
      </c>
      <c r="D59" s="3">
        <v>2018</v>
      </c>
      <c r="E59" s="3">
        <v>2</v>
      </c>
      <c r="F59" s="3" t="s">
        <v>19</v>
      </c>
      <c r="G59" s="3">
        <v>3</v>
      </c>
      <c r="H59">
        <v>3</v>
      </c>
      <c r="I59" s="3">
        <v>3</v>
      </c>
      <c r="J59" s="3" t="s">
        <v>8</v>
      </c>
      <c r="K59" s="3" t="s">
        <v>11</v>
      </c>
      <c r="L59" s="3">
        <v>-1200</v>
      </c>
    </row>
    <row r="60" spans="1:12" x14ac:dyDescent="0.25">
      <c r="A60" s="44">
        <f t="shared" si="1"/>
        <v>1</v>
      </c>
      <c r="B60" s="50" t="str">
        <f>VLOOKUP(K60,Lookup!$A$1:$D$34,4,FALSE)</f>
        <v>ze_write_off</v>
      </c>
      <c r="C60" s="9">
        <v>43132</v>
      </c>
      <c r="D60" s="3">
        <v>2018</v>
      </c>
      <c r="E60" s="3">
        <v>2</v>
      </c>
      <c r="F60" s="3" t="s">
        <v>19</v>
      </c>
      <c r="G60" s="3">
        <v>3</v>
      </c>
      <c r="H60">
        <v>3</v>
      </c>
      <c r="I60" s="3">
        <v>3</v>
      </c>
      <c r="J60" s="3" t="s">
        <v>8</v>
      </c>
      <c r="K60" s="3" t="s">
        <v>13</v>
      </c>
      <c r="L60" s="3">
        <v>2000</v>
      </c>
    </row>
    <row r="61" spans="1:12" x14ac:dyDescent="0.25">
      <c r="A61" s="44">
        <f t="shared" si="1"/>
        <v>1</v>
      </c>
      <c r="B61" s="50" t="str">
        <f>VLOOKUP(K61,Lookup!$A$1:$D$34,4,FALSE)</f>
        <v>a_open</v>
      </c>
      <c r="C61" s="9">
        <v>43132</v>
      </c>
      <c r="D61" s="3">
        <v>2018</v>
      </c>
      <c r="E61" s="3">
        <v>2</v>
      </c>
      <c r="F61" s="3" t="s">
        <v>19</v>
      </c>
      <c r="G61" s="3">
        <v>3</v>
      </c>
      <c r="H61">
        <v>3</v>
      </c>
      <c r="I61" s="3">
        <v>3</v>
      </c>
      <c r="J61" s="3" t="s">
        <v>8</v>
      </c>
      <c r="K61" s="3" t="s">
        <v>14</v>
      </c>
      <c r="L61" s="3">
        <v>-3000</v>
      </c>
    </row>
    <row r="62" spans="1:12" x14ac:dyDescent="0.25">
      <c r="A62" s="44">
        <f t="shared" si="1"/>
        <v>1</v>
      </c>
      <c r="B62" s="50" t="str">
        <f>VLOOKUP(K62,Lookup!$A$1:$D$34,4,FALSE)</f>
        <v>zf_close</v>
      </c>
      <c r="C62" s="9">
        <v>43132</v>
      </c>
      <c r="D62" s="3">
        <v>2018</v>
      </c>
      <c r="E62" s="3">
        <v>2</v>
      </c>
      <c r="F62" s="3" t="s">
        <v>19</v>
      </c>
      <c r="G62" s="3">
        <v>3</v>
      </c>
      <c r="H62">
        <v>3</v>
      </c>
      <c r="I62" s="3">
        <v>3</v>
      </c>
      <c r="J62" s="3" t="s">
        <v>15</v>
      </c>
      <c r="K62" s="3" t="s">
        <v>9</v>
      </c>
      <c r="L62" s="3">
        <v>30</v>
      </c>
    </row>
    <row r="63" spans="1:12" x14ac:dyDescent="0.25">
      <c r="A63" s="44">
        <f t="shared" si="1"/>
        <v>1</v>
      </c>
      <c r="B63" s="50" t="str">
        <f>VLOOKUP(K63,Lookup!$A$1:$D$34,4,FALSE)</f>
        <v>zd_other</v>
      </c>
      <c r="C63" s="9">
        <v>43132</v>
      </c>
      <c r="D63" s="3">
        <v>2018</v>
      </c>
      <c r="E63" s="3">
        <v>2</v>
      </c>
      <c r="F63" s="3" t="s">
        <v>19</v>
      </c>
      <c r="G63" s="3">
        <v>3</v>
      </c>
      <c r="H63">
        <v>3</v>
      </c>
      <c r="I63" s="3">
        <v>3</v>
      </c>
      <c r="J63" s="3" t="s">
        <v>15</v>
      </c>
      <c r="K63" s="3" t="s">
        <v>18</v>
      </c>
      <c r="L63" s="3">
        <v>-10</v>
      </c>
    </row>
    <row r="64" spans="1:12" x14ac:dyDescent="0.25">
      <c r="A64" s="44">
        <f t="shared" si="1"/>
        <v>1</v>
      </c>
      <c r="B64" s="50" t="str">
        <f>VLOOKUP(K64,Lookup!$A$1:$D$34,4,FALSE)</f>
        <v>z_repay_term_final</v>
      </c>
      <c r="C64" s="9">
        <v>43132</v>
      </c>
      <c r="D64" s="3">
        <v>2018</v>
      </c>
      <c r="E64" s="3">
        <v>2</v>
      </c>
      <c r="F64" s="3" t="s">
        <v>19</v>
      </c>
      <c r="G64" s="3">
        <v>3</v>
      </c>
      <c r="H64">
        <v>3</v>
      </c>
      <c r="I64" s="3">
        <v>3</v>
      </c>
      <c r="J64" s="3" t="s">
        <v>15</v>
      </c>
      <c r="K64" s="3" t="s">
        <v>17</v>
      </c>
      <c r="L64" s="3">
        <v>-5500</v>
      </c>
    </row>
    <row r="65" spans="1:12" x14ac:dyDescent="0.25">
      <c r="A65" s="44">
        <f t="shared" si="1"/>
        <v>1</v>
      </c>
      <c r="B65" s="50" t="str">
        <f>VLOOKUP(K65,Lookup!$A$1:$D$34,4,FALSE)</f>
        <v>ze_write_off</v>
      </c>
      <c r="C65" s="9">
        <v>43132</v>
      </c>
      <c r="D65" s="3">
        <v>2018</v>
      </c>
      <c r="E65" s="3">
        <v>2</v>
      </c>
      <c r="F65" s="3" t="s">
        <v>19</v>
      </c>
      <c r="G65" s="3">
        <v>3</v>
      </c>
      <c r="H65">
        <v>3</v>
      </c>
      <c r="I65" s="3">
        <v>3</v>
      </c>
      <c r="J65" s="3" t="s">
        <v>15</v>
      </c>
      <c r="K65" s="3" t="s">
        <v>13</v>
      </c>
      <c r="L65" s="3">
        <v>-2000</v>
      </c>
    </row>
    <row r="66" spans="1:12" x14ac:dyDescent="0.25">
      <c r="A66" s="44">
        <f t="shared" si="1"/>
        <v>1</v>
      </c>
      <c r="B66" s="50" t="str">
        <f>VLOOKUP(K66,Lookup!$A$1:$D$34,4,FALSE)</f>
        <v>a_open</v>
      </c>
      <c r="C66" s="9">
        <v>43132</v>
      </c>
      <c r="D66" s="3">
        <v>2018</v>
      </c>
      <c r="E66" s="3">
        <v>2</v>
      </c>
      <c r="F66" s="3" t="s">
        <v>19</v>
      </c>
      <c r="G66" s="3">
        <v>3</v>
      </c>
      <c r="H66">
        <v>3</v>
      </c>
      <c r="I66" s="3">
        <v>3</v>
      </c>
      <c r="J66" s="3" t="s">
        <v>15</v>
      </c>
      <c r="K66" s="3" t="s">
        <v>14</v>
      </c>
      <c r="L66" s="3">
        <v>7540</v>
      </c>
    </row>
    <row r="67" spans="1:12" x14ac:dyDescent="0.25">
      <c r="A67" s="44">
        <f t="shared" si="1"/>
        <v>1</v>
      </c>
      <c r="B67" s="50" t="str">
        <f>VLOOKUP(K67,Lookup!$A$1:$D$34,4,FALSE)</f>
        <v>zd_other</v>
      </c>
      <c r="C67" s="9">
        <v>43160</v>
      </c>
      <c r="D67" s="3">
        <v>2018</v>
      </c>
      <c r="E67" s="3">
        <v>3</v>
      </c>
      <c r="F67" s="3" t="s">
        <v>19</v>
      </c>
      <c r="G67" s="3">
        <v>3</v>
      </c>
      <c r="H67">
        <v>3</v>
      </c>
      <c r="I67" s="3">
        <v>3</v>
      </c>
      <c r="J67" s="3" t="s">
        <v>15</v>
      </c>
      <c r="K67" s="3" t="s">
        <v>18</v>
      </c>
      <c r="L67" s="3">
        <v>-30</v>
      </c>
    </row>
    <row r="68" spans="1:12" x14ac:dyDescent="0.25">
      <c r="A68" s="44">
        <f t="shared" si="1"/>
        <v>1</v>
      </c>
      <c r="B68" s="50" t="str">
        <f>VLOOKUP(K68,Lookup!$A$1:$D$34,4,FALSE)</f>
        <v>a_open</v>
      </c>
      <c r="C68" s="9">
        <v>43160</v>
      </c>
      <c r="D68" s="3">
        <v>2018</v>
      </c>
      <c r="E68" s="3">
        <v>3</v>
      </c>
      <c r="F68" s="3" t="s">
        <v>19</v>
      </c>
      <c r="G68" s="3">
        <v>3</v>
      </c>
      <c r="H68">
        <v>3</v>
      </c>
      <c r="I68" s="3">
        <v>3</v>
      </c>
      <c r="J68" s="3" t="s">
        <v>15</v>
      </c>
      <c r="K68" s="3" t="s">
        <v>14</v>
      </c>
      <c r="L68" s="3">
        <v>30</v>
      </c>
    </row>
    <row r="69" spans="1:12" x14ac:dyDescent="0.25">
      <c r="A69" s="44">
        <f t="shared" si="1"/>
        <v>0</v>
      </c>
      <c r="B69" s="50" t="str">
        <f>VLOOKUP(K69,Lookup!$A$1:$D$34,4,FALSE)</f>
        <v>zf_close</v>
      </c>
      <c r="C69" s="9">
        <v>43070</v>
      </c>
      <c r="D69" s="3">
        <v>2017</v>
      </c>
      <c r="E69" s="3">
        <v>12</v>
      </c>
      <c r="F69" s="3" t="s">
        <v>20</v>
      </c>
      <c r="G69" s="3" t="s">
        <v>58</v>
      </c>
      <c r="H69">
        <v>2</v>
      </c>
      <c r="I69" s="3">
        <v>2</v>
      </c>
      <c r="J69" s="3" t="s">
        <v>8</v>
      </c>
      <c r="K69" s="3" t="s">
        <v>9</v>
      </c>
      <c r="L69" s="3">
        <v>-1500</v>
      </c>
    </row>
    <row r="70" spans="1:12" x14ac:dyDescent="0.25">
      <c r="A70" s="44">
        <f t="shared" si="1"/>
        <v>0</v>
      </c>
      <c r="B70" s="50" t="str">
        <f>VLOOKUP(K70,Lookup!$A$1:$D$34,4,FALSE)</f>
        <v>zf_close</v>
      </c>
      <c r="C70" s="9">
        <v>43070</v>
      </c>
      <c r="D70" s="3">
        <v>2017</v>
      </c>
      <c r="E70" s="3">
        <v>12</v>
      </c>
      <c r="F70" s="3" t="s">
        <v>20</v>
      </c>
      <c r="G70" s="3" t="s">
        <v>58</v>
      </c>
      <c r="H70">
        <v>2</v>
      </c>
      <c r="I70" s="3">
        <v>2</v>
      </c>
      <c r="J70" s="3" t="s">
        <v>15</v>
      </c>
      <c r="K70" s="3" t="s">
        <v>9</v>
      </c>
      <c r="L70" s="3">
        <v>7550</v>
      </c>
    </row>
    <row r="71" spans="1:12" x14ac:dyDescent="0.25">
      <c r="A71" s="44">
        <f t="shared" si="1"/>
        <v>1</v>
      </c>
      <c r="B71" s="50" t="str">
        <f>VLOOKUP(K71,Lookup!$A$1:$D$34,4,FALSE)</f>
        <v>zf_close</v>
      </c>
      <c r="C71" s="9">
        <v>43101</v>
      </c>
      <c r="D71" s="3">
        <v>2018</v>
      </c>
      <c r="E71" s="3">
        <v>1</v>
      </c>
      <c r="F71" s="3" t="s">
        <v>20</v>
      </c>
      <c r="G71" s="3">
        <v>2</v>
      </c>
      <c r="H71">
        <v>3</v>
      </c>
      <c r="I71" s="3">
        <v>3</v>
      </c>
      <c r="J71" s="3" t="s">
        <v>8</v>
      </c>
      <c r="K71" s="3" t="s">
        <v>9</v>
      </c>
      <c r="L71" s="3">
        <v>-1800</v>
      </c>
    </row>
    <row r="72" spans="1:12" x14ac:dyDescent="0.25">
      <c r="A72" s="44">
        <f t="shared" ref="A72:A135" si="2">IF(OR(AND(C72=$A$1,J72="op"),AND(C72=$A$2,J72="cl"),AND(C72&gt;=$A$1,C72&lt;=$A$2,J72&lt;&gt;"op",J72&lt;&gt;"cl")),1,0)</f>
        <v>1</v>
      </c>
      <c r="B72" s="50" t="str">
        <f>VLOOKUP(K72,Lookup!$A$1:$D$34,4,FALSE)</f>
        <v>zb_re-measure_migr</v>
      </c>
      <c r="C72" s="9">
        <v>43101</v>
      </c>
      <c r="D72" s="3">
        <v>2018</v>
      </c>
      <c r="E72" s="3">
        <v>1</v>
      </c>
      <c r="F72" s="3" t="s">
        <v>20</v>
      </c>
      <c r="G72" s="3">
        <v>2</v>
      </c>
      <c r="H72">
        <v>3</v>
      </c>
      <c r="I72" s="3">
        <v>3</v>
      </c>
      <c r="J72" s="3" t="s">
        <v>8</v>
      </c>
      <c r="K72" s="3" t="s">
        <v>12</v>
      </c>
      <c r="L72" s="3">
        <v>-300</v>
      </c>
    </row>
    <row r="73" spans="1:12" x14ac:dyDescent="0.25">
      <c r="A73" s="44">
        <f t="shared" si="2"/>
        <v>1</v>
      </c>
      <c r="B73" s="50" t="str">
        <f>VLOOKUP(K73,Lookup!$A$1:$D$34,4,FALSE)</f>
        <v>g_tfr.2.3</v>
      </c>
      <c r="C73" s="9">
        <v>43101</v>
      </c>
      <c r="D73" s="3">
        <v>2018</v>
      </c>
      <c r="E73" s="3">
        <v>1</v>
      </c>
      <c r="F73" s="3" t="s">
        <v>20</v>
      </c>
      <c r="G73" s="3">
        <v>2</v>
      </c>
      <c r="H73">
        <v>3</v>
      </c>
      <c r="I73" s="3">
        <v>3</v>
      </c>
      <c r="J73" s="3" t="s">
        <v>8</v>
      </c>
      <c r="K73" s="3" t="s">
        <v>159</v>
      </c>
      <c r="L73" s="3">
        <v>-1500</v>
      </c>
    </row>
    <row r="74" spans="1:12" x14ac:dyDescent="0.25">
      <c r="A74" s="44">
        <f t="shared" si="2"/>
        <v>1</v>
      </c>
      <c r="B74" s="50" t="str">
        <f>VLOOKUP(K74,Lookup!$A$1:$D$34,4,FALSE)</f>
        <v>g_tfr.2.3</v>
      </c>
      <c r="C74" s="9">
        <v>43101</v>
      </c>
      <c r="D74" s="3">
        <v>2018</v>
      </c>
      <c r="E74" s="3">
        <v>1</v>
      </c>
      <c r="F74" s="3" t="s">
        <v>20</v>
      </c>
      <c r="G74" s="3">
        <v>2</v>
      </c>
      <c r="H74">
        <v>3</v>
      </c>
      <c r="I74" s="3">
        <v>2</v>
      </c>
      <c r="J74" s="3" t="s">
        <v>8</v>
      </c>
      <c r="K74" s="3" t="s">
        <v>159</v>
      </c>
      <c r="L74" s="3">
        <v>1500</v>
      </c>
    </row>
    <row r="75" spans="1:12" x14ac:dyDescent="0.25">
      <c r="A75" s="44">
        <f t="shared" si="2"/>
        <v>1</v>
      </c>
      <c r="B75" s="50" t="str">
        <f>VLOOKUP(K75,Lookup!$A$1:$D$34,4,FALSE)</f>
        <v>a_open</v>
      </c>
      <c r="C75" s="9">
        <v>43101</v>
      </c>
      <c r="D75" s="3">
        <v>2018</v>
      </c>
      <c r="E75" s="3">
        <v>1</v>
      </c>
      <c r="F75" s="3" t="s">
        <v>20</v>
      </c>
      <c r="G75" s="3">
        <v>2</v>
      </c>
      <c r="H75">
        <v>3</v>
      </c>
      <c r="I75" s="3">
        <v>2</v>
      </c>
      <c r="J75" s="3" t="s">
        <v>8</v>
      </c>
      <c r="K75" s="3" t="s">
        <v>14</v>
      </c>
      <c r="L75" s="3">
        <v>-1500</v>
      </c>
    </row>
    <row r="76" spans="1:12" x14ac:dyDescent="0.25">
      <c r="A76" s="44">
        <f t="shared" si="2"/>
        <v>1</v>
      </c>
      <c r="B76" s="50" t="str">
        <f>VLOOKUP(K76,Lookup!$A$1:$D$34,4,FALSE)</f>
        <v>zf_close</v>
      </c>
      <c r="C76" s="9">
        <v>43101</v>
      </c>
      <c r="D76" s="3">
        <v>2018</v>
      </c>
      <c r="E76" s="3">
        <v>1</v>
      </c>
      <c r="F76" s="3" t="s">
        <v>20</v>
      </c>
      <c r="G76" s="3">
        <v>2</v>
      </c>
      <c r="H76">
        <v>3</v>
      </c>
      <c r="I76" s="3">
        <v>3</v>
      </c>
      <c r="J76" s="3" t="s">
        <v>15</v>
      </c>
      <c r="K76" s="3" t="s">
        <v>9</v>
      </c>
      <c r="L76" s="3">
        <v>7540</v>
      </c>
    </row>
    <row r="77" spans="1:12" x14ac:dyDescent="0.25">
      <c r="A77" s="44">
        <f t="shared" si="2"/>
        <v>1</v>
      </c>
      <c r="B77" s="50" t="str">
        <f>VLOOKUP(K77,Lookup!$A$1:$D$34,4,FALSE)</f>
        <v>zd_other</v>
      </c>
      <c r="C77" s="9">
        <v>43101</v>
      </c>
      <c r="D77" s="3">
        <v>2018</v>
      </c>
      <c r="E77" s="3">
        <v>1</v>
      </c>
      <c r="F77" s="3" t="s">
        <v>20</v>
      </c>
      <c r="G77" s="3">
        <v>2</v>
      </c>
      <c r="H77">
        <v>3</v>
      </c>
      <c r="I77" s="3">
        <v>3</v>
      </c>
      <c r="J77" s="3" t="s">
        <v>15</v>
      </c>
      <c r="K77" s="3" t="s">
        <v>18</v>
      </c>
      <c r="L77" s="3">
        <v>-10</v>
      </c>
    </row>
    <row r="78" spans="1:12" x14ac:dyDescent="0.25">
      <c r="A78" s="44">
        <f t="shared" si="2"/>
        <v>1</v>
      </c>
      <c r="B78" s="50" t="str">
        <f>VLOOKUP(K78,Lookup!$A$1:$D$34,4,FALSE)</f>
        <v>g_tfr.2.3</v>
      </c>
      <c r="C78" s="9">
        <v>43101</v>
      </c>
      <c r="D78" s="3">
        <v>2018</v>
      </c>
      <c r="E78" s="3">
        <v>1</v>
      </c>
      <c r="F78" s="3" t="s">
        <v>20</v>
      </c>
      <c r="G78" s="3">
        <v>2</v>
      </c>
      <c r="H78">
        <v>3</v>
      </c>
      <c r="I78" s="3">
        <v>3</v>
      </c>
      <c r="J78" s="3" t="s">
        <v>15</v>
      </c>
      <c r="K78" s="3" t="s">
        <v>159</v>
      </c>
      <c r="L78" s="3">
        <v>7550</v>
      </c>
    </row>
    <row r="79" spans="1:12" x14ac:dyDescent="0.25">
      <c r="A79" s="44">
        <f t="shared" si="2"/>
        <v>1</v>
      </c>
      <c r="B79" s="50" t="str">
        <f>VLOOKUP(K79,Lookup!$A$1:$D$34,4,FALSE)</f>
        <v>g_tfr.2.3</v>
      </c>
      <c r="C79" s="9">
        <v>43101</v>
      </c>
      <c r="D79" s="3">
        <v>2018</v>
      </c>
      <c r="E79" s="3">
        <v>1</v>
      </c>
      <c r="F79" s="3" t="s">
        <v>20</v>
      </c>
      <c r="G79" s="3">
        <v>2</v>
      </c>
      <c r="H79">
        <v>3</v>
      </c>
      <c r="I79" s="3">
        <v>2</v>
      </c>
      <c r="J79" s="3" t="s">
        <v>15</v>
      </c>
      <c r="K79" s="3" t="s">
        <v>159</v>
      </c>
      <c r="L79" s="3">
        <v>-7550</v>
      </c>
    </row>
    <row r="80" spans="1:12" x14ac:dyDescent="0.25">
      <c r="A80" s="44">
        <f t="shared" si="2"/>
        <v>1</v>
      </c>
      <c r="B80" s="50" t="str">
        <f>VLOOKUP(K80,Lookup!$A$1:$D$34,4,FALSE)</f>
        <v>a_open</v>
      </c>
      <c r="C80" s="9">
        <v>43101</v>
      </c>
      <c r="D80" s="3">
        <v>2018</v>
      </c>
      <c r="E80" s="3">
        <v>1</v>
      </c>
      <c r="F80" s="3" t="s">
        <v>20</v>
      </c>
      <c r="G80" s="3">
        <v>2</v>
      </c>
      <c r="H80">
        <v>3</v>
      </c>
      <c r="I80" s="3">
        <v>2</v>
      </c>
      <c r="J80" s="3" t="s">
        <v>15</v>
      </c>
      <c r="K80" s="3" t="s">
        <v>14</v>
      </c>
      <c r="L80" s="3">
        <v>7550</v>
      </c>
    </row>
    <row r="81" spans="1:12" x14ac:dyDescent="0.25">
      <c r="A81" s="44">
        <f t="shared" si="2"/>
        <v>1</v>
      </c>
      <c r="B81" s="50" t="str">
        <f>VLOOKUP(K81,Lookup!$A$1:$D$34,4,FALSE)</f>
        <v>zf_close</v>
      </c>
      <c r="C81" s="9">
        <v>43132</v>
      </c>
      <c r="D81" s="3">
        <v>2018</v>
      </c>
      <c r="E81" s="3">
        <v>2</v>
      </c>
      <c r="F81" s="3" t="s">
        <v>20</v>
      </c>
      <c r="G81" s="3">
        <v>3</v>
      </c>
      <c r="H81">
        <v>3</v>
      </c>
      <c r="I81" s="3">
        <v>3</v>
      </c>
      <c r="J81" s="3" t="s">
        <v>8</v>
      </c>
      <c r="K81" s="3" t="s">
        <v>9</v>
      </c>
      <c r="L81" s="3">
        <v>-480</v>
      </c>
    </row>
    <row r="82" spans="1:12" x14ac:dyDescent="0.25">
      <c r="A82" s="44">
        <f t="shared" si="2"/>
        <v>1</v>
      </c>
      <c r="B82" s="50" t="str">
        <f>VLOOKUP(K82,Lookup!$A$1:$D$34,4,FALSE)</f>
        <v>y_repay_term</v>
      </c>
      <c r="C82" s="9">
        <v>43132</v>
      </c>
      <c r="D82" s="3">
        <v>2018</v>
      </c>
      <c r="E82" s="3">
        <v>2</v>
      </c>
      <c r="F82" s="3" t="s">
        <v>20</v>
      </c>
      <c r="G82" s="3">
        <v>3</v>
      </c>
      <c r="H82">
        <v>3</v>
      </c>
      <c r="I82" s="3">
        <v>3</v>
      </c>
      <c r="J82" s="3" t="s">
        <v>8</v>
      </c>
      <c r="K82" s="3" t="s">
        <v>21</v>
      </c>
      <c r="L82" s="3">
        <v>840</v>
      </c>
    </row>
    <row r="83" spans="1:12" x14ac:dyDescent="0.25">
      <c r="A83" s="44">
        <f t="shared" si="2"/>
        <v>1</v>
      </c>
      <c r="B83" s="50" t="str">
        <f>VLOOKUP(K83,Lookup!$A$1:$D$34,4,FALSE)</f>
        <v>za_re-measure_no_migr</v>
      </c>
      <c r="C83" s="9">
        <v>43132</v>
      </c>
      <c r="D83" s="3">
        <v>2018</v>
      </c>
      <c r="E83" s="3">
        <v>2</v>
      </c>
      <c r="F83" s="3" t="s">
        <v>20</v>
      </c>
      <c r="G83" s="3">
        <v>3</v>
      </c>
      <c r="H83">
        <v>3</v>
      </c>
      <c r="I83" s="3">
        <v>3</v>
      </c>
      <c r="J83" s="3" t="s">
        <v>8</v>
      </c>
      <c r="K83" s="3" t="s">
        <v>11</v>
      </c>
      <c r="L83" s="3">
        <v>-1520</v>
      </c>
    </row>
    <row r="84" spans="1:12" x14ac:dyDescent="0.25">
      <c r="A84" s="44">
        <f t="shared" si="2"/>
        <v>1</v>
      </c>
      <c r="B84" s="50" t="str">
        <f>VLOOKUP(K84,Lookup!$A$1:$D$34,4,FALSE)</f>
        <v>ze_write_off</v>
      </c>
      <c r="C84" s="9">
        <v>43132</v>
      </c>
      <c r="D84" s="3">
        <v>2018</v>
      </c>
      <c r="E84" s="3">
        <v>2</v>
      </c>
      <c r="F84" s="3" t="s">
        <v>20</v>
      </c>
      <c r="G84" s="3">
        <v>3</v>
      </c>
      <c r="H84">
        <v>3</v>
      </c>
      <c r="I84" s="3">
        <v>3</v>
      </c>
      <c r="J84" s="3" t="s">
        <v>8</v>
      </c>
      <c r="K84" s="3" t="s">
        <v>13</v>
      </c>
      <c r="L84" s="3">
        <v>2000</v>
      </c>
    </row>
    <row r="85" spans="1:12" x14ac:dyDescent="0.25">
      <c r="A85" s="44">
        <f t="shared" si="2"/>
        <v>1</v>
      </c>
      <c r="B85" s="50" t="str">
        <f>VLOOKUP(K85,Lookup!$A$1:$D$34,4,FALSE)</f>
        <v>a_open</v>
      </c>
      <c r="C85" s="9">
        <v>43132</v>
      </c>
      <c r="D85" s="3">
        <v>2018</v>
      </c>
      <c r="E85" s="3">
        <v>2</v>
      </c>
      <c r="F85" s="3" t="s">
        <v>20</v>
      </c>
      <c r="G85" s="3">
        <v>3</v>
      </c>
      <c r="H85">
        <v>3</v>
      </c>
      <c r="I85" s="3">
        <v>3</v>
      </c>
      <c r="J85" s="3" t="s">
        <v>8</v>
      </c>
      <c r="K85" s="3" t="s">
        <v>14</v>
      </c>
      <c r="L85" s="3">
        <v>-1800</v>
      </c>
    </row>
    <row r="86" spans="1:12" x14ac:dyDescent="0.25">
      <c r="A86" s="44">
        <f t="shared" si="2"/>
        <v>1</v>
      </c>
      <c r="B86" s="50" t="str">
        <f>VLOOKUP(K86,Lookup!$A$1:$D$34,4,FALSE)</f>
        <v>zf_close</v>
      </c>
      <c r="C86" s="9">
        <v>43132</v>
      </c>
      <c r="D86" s="3">
        <v>2018</v>
      </c>
      <c r="E86" s="3">
        <v>2</v>
      </c>
      <c r="F86" s="3" t="s">
        <v>20</v>
      </c>
      <c r="G86" s="3">
        <v>3</v>
      </c>
      <c r="H86">
        <v>3</v>
      </c>
      <c r="I86" s="3">
        <v>3</v>
      </c>
      <c r="J86" s="3" t="s">
        <v>15</v>
      </c>
      <c r="K86" s="3" t="s">
        <v>9</v>
      </c>
      <c r="L86" s="3">
        <v>2030</v>
      </c>
    </row>
    <row r="87" spans="1:12" x14ac:dyDescent="0.25">
      <c r="A87" s="44">
        <f t="shared" si="2"/>
        <v>1</v>
      </c>
      <c r="B87" s="50" t="str">
        <f>VLOOKUP(K87,Lookup!$A$1:$D$34,4,FALSE)</f>
        <v>zd_other</v>
      </c>
      <c r="C87" s="9">
        <v>43132</v>
      </c>
      <c r="D87" s="3">
        <v>2018</v>
      </c>
      <c r="E87" s="3">
        <v>2</v>
      </c>
      <c r="F87" s="3" t="s">
        <v>20</v>
      </c>
      <c r="G87" s="3">
        <v>3</v>
      </c>
      <c r="H87">
        <v>3</v>
      </c>
      <c r="I87" s="3">
        <v>3</v>
      </c>
      <c r="J87" s="3" t="s">
        <v>15</v>
      </c>
      <c r="K87" s="3" t="s">
        <v>18</v>
      </c>
      <c r="L87" s="3">
        <v>-10</v>
      </c>
    </row>
    <row r="88" spans="1:12" x14ac:dyDescent="0.25">
      <c r="A88" s="44">
        <f t="shared" si="2"/>
        <v>1</v>
      </c>
      <c r="B88" s="50" t="str">
        <f>VLOOKUP(K88,Lookup!$A$1:$D$34,4,FALSE)</f>
        <v>y_repay_term</v>
      </c>
      <c r="C88" s="9">
        <v>43132</v>
      </c>
      <c r="D88" s="3">
        <v>2018</v>
      </c>
      <c r="E88" s="3">
        <v>2</v>
      </c>
      <c r="F88" s="3" t="s">
        <v>20</v>
      </c>
      <c r="G88" s="3">
        <v>3</v>
      </c>
      <c r="H88">
        <v>3</v>
      </c>
      <c r="I88" s="3">
        <v>3</v>
      </c>
      <c r="J88" s="3" t="s">
        <v>15</v>
      </c>
      <c r="K88" s="3" t="s">
        <v>21</v>
      </c>
      <c r="L88" s="3">
        <v>-3500</v>
      </c>
    </row>
    <row r="89" spans="1:12" x14ac:dyDescent="0.25">
      <c r="A89" s="44">
        <f t="shared" si="2"/>
        <v>1</v>
      </c>
      <c r="B89" s="50" t="str">
        <f>VLOOKUP(K89,Lookup!$A$1:$D$34,4,FALSE)</f>
        <v>ze_write_off</v>
      </c>
      <c r="C89" s="9">
        <v>43132</v>
      </c>
      <c r="D89" s="3">
        <v>2018</v>
      </c>
      <c r="E89" s="3">
        <v>2</v>
      </c>
      <c r="F89" s="3" t="s">
        <v>20</v>
      </c>
      <c r="G89" s="3">
        <v>3</v>
      </c>
      <c r="H89">
        <v>3</v>
      </c>
      <c r="I89" s="3">
        <v>3</v>
      </c>
      <c r="J89" s="3" t="s">
        <v>15</v>
      </c>
      <c r="K89" s="3" t="s">
        <v>13</v>
      </c>
      <c r="L89" s="3">
        <v>-2000</v>
      </c>
    </row>
    <row r="90" spans="1:12" x14ac:dyDescent="0.25">
      <c r="A90" s="44">
        <f t="shared" si="2"/>
        <v>1</v>
      </c>
      <c r="B90" s="50" t="str">
        <f>VLOOKUP(K90,Lookup!$A$1:$D$34,4,FALSE)</f>
        <v>a_open</v>
      </c>
      <c r="C90" s="9">
        <v>43132</v>
      </c>
      <c r="D90" s="3">
        <v>2018</v>
      </c>
      <c r="E90" s="3">
        <v>2</v>
      </c>
      <c r="F90" s="3" t="s">
        <v>20</v>
      </c>
      <c r="G90" s="3">
        <v>3</v>
      </c>
      <c r="H90">
        <v>3</v>
      </c>
      <c r="I90" s="3">
        <v>3</v>
      </c>
      <c r="J90" s="3" t="s">
        <v>15</v>
      </c>
      <c r="K90" s="3" t="s">
        <v>14</v>
      </c>
      <c r="L90" s="3">
        <v>7540</v>
      </c>
    </row>
    <row r="91" spans="1:12" x14ac:dyDescent="0.25">
      <c r="A91" s="44">
        <f t="shared" si="2"/>
        <v>1</v>
      </c>
      <c r="B91" s="50" t="str">
        <f>VLOOKUP(K91,Lookup!$A$1:$D$34,4,FALSE)</f>
        <v>z_repay_term_final</v>
      </c>
      <c r="C91" s="9">
        <v>43160</v>
      </c>
      <c r="D91" s="3">
        <v>2018</v>
      </c>
      <c r="E91" s="3">
        <v>3</v>
      </c>
      <c r="F91" s="3" t="s">
        <v>20</v>
      </c>
      <c r="G91" s="3">
        <v>3</v>
      </c>
      <c r="H91">
        <v>3</v>
      </c>
      <c r="I91" s="3">
        <v>3</v>
      </c>
      <c r="J91" s="3" t="s">
        <v>8</v>
      </c>
      <c r="K91" s="3" t="s">
        <v>17</v>
      </c>
      <c r="L91" s="3">
        <v>480</v>
      </c>
    </row>
    <row r="92" spans="1:12" x14ac:dyDescent="0.25">
      <c r="A92" s="44">
        <f t="shared" si="2"/>
        <v>1</v>
      </c>
      <c r="B92" s="50" t="str">
        <f>VLOOKUP(K92,Lookup!$A$1:$D$34,4,FALSE)</f>
        <v>a_open</v>
      </c>
      <c r="C92" s="9">
        <v>43160</v>
      </c>
      <c r="D92" s="3">
        <v>2018</v>
      </c>
      <c r="E92" s="3">
        <v>3</v>
      </c>
      <c r="F92" s="3" t="s">
        <v>20</v>
      </c>
      <c r="G92" s="3">
        <v>3</v>
      </c>
      <c r="H92">
        <v>3</v>
      </c>
      <c r="I92" s="3">
        <v>3</v>
      </c>
      <c r="J92" s="3" t="s">
        <v>8</v>
      </c>
      <c r="K92" s="3" t="s">
        <v>14</v>
      </c>
      <c r="L92" s="3">
        <v>-480</v>
      </c>
    </row>
    <row r="93" spans="1:12" x14ac:dyDescent="0.25">
      <c r="A93" s="44">
        <f t="shared" si="2"/>
        <v>1</v>
      </c>
      <c r="B93" s="50" t="str">
        <f>VLOOKUP(K93,Lookup!$A$1:$D$34,4,FALSE)</f>
        <v>zd_other</v>
      </c>
      <c r="C93" s="9">
        <v>43160</v>
      </c>
      <c r="D93" s="3">
        <v>2018</v>
      </c>
      <c r="E93" s="3">
        <v>3</v>
      </c>
      <c r="F93" s="3" t="s">
        <v>20</v>
      </c>
      <c r="G93" s="3">
        <v>3</v>
      </c>
      <c r="H93">
        <v>3</v>
      </c>
      <c r="I93" s="3">
        <v>3</v>
      </c>
      <c r="J93" s="3" t="s">
        <v>15</v>
      </c>
      <c r="K93" s="3" t="s">
        <v>18</v>
      </c>
      <c r="L93" s="3">
        <v>-30</v>
      </c>
    </row>
    <row r="94" spans="1:12" x14ac:dyDescent="0.25">
      <c r="A94" s="44">
        <f t="shared" si="2"/>
        <v>1</v>
      </c>
      <c r="B94" s="50" t="str">
        <f>VLOOKUP(K94,Lookup!$A$1:$D$34,4,FALSE)</f>
        <v>z_repay_term_final</v>
      </c>
      <c r="C94" s="9">
        <v>43160</v>
      </c>
      <c r="D94" s="3">
        <v>2018</v>
      </c>
      <c r="E94" s="3">
        <v>3</v>
      </c>
      <c r="F94" s="3" t="s">
        <v>20</v>
      </c>
      <c r="G94" s="3">
        <v>3</v>
      </c>
      <c r="H94">
        <v>3</v>
      </c>
      <c r="I94" s="3">
        <v>3</v>
      </c>
      <c r="J94" s="3" t="s">
        <v>15</v>
      </c>
      <c r="K94" s="3" t="s">
        <v>17</v>
      </c>
      <c r="L94" s="3">
        <v>-2000</v>
      </c>
    </row>
    <row r="95" spans="1:12" x14ac:dyDescent="0.25">
      <c r="A95" s="44">
        <f t="shared" si="2"/>
        <v>1</v>
      </c>
      <c r="B95" s="50" t="str">
        <f>VLOOKUP(K95,Lookup!$A$1:$D$34,4,FALSE)</f>
        <v>a_open</v>
      </c>
      <c r="C95" s="9">
        <v>43160</v>
      </c>
      <c r="D95" s="3">
        <v>2018</v>
      </c>
      <c r="E95" s="3">
        <v>3</v>
      </c>
      <c r="F95" s="3" t="s">
        <v>20</v>
      </c>
      <c r="G95" s="3">
        <v>3</v>
      </c>
      <c r="H95">
        <v>3</v>
      </c>
      <c r="I95" s="3">
        <v>3</v>
      </c>
      <c r="J95" s="3" t="s">
        <v>15</v>
      </c>
      <c r="K95" s="3" t="s">
        <v>14</v>
      </c>
      <c r="L95" s="3">
        <v>2030</v>
      </c>
    </row>
    <row r="96" spans="1:12" x14ac:dyDescent="0.25">
      <c r="A96" s="44">
        <f t="shared" si="2"/>
        <v>0</v>
      </c>
      <c r="B96" s="50" t="str">
        <f>VLOOKUP(K96,Lookup!$A$1:$D$34,4,FALSE)</f>
        <v>zf_close</v>
      </c>
      <c r="C96" s="9">
        <v>43070</v>
      </c>
      <c r="D96" s="3">
        <v>2017</v>
      </c>
      <c r="E96" s="3">
        <v>12</v>
      </c>
      <c r="F96" s="3" t="s">
        <v>22</v>
      </c>
      <c r="G96" s="3" t="s">
        <v>58</v>
      </c>
      <c r="H96">
        <v>1</v>
      </c>
      <c r="I96" s="3">
        <v>1</v>
      </c>
      <c r="J96" s="3" t="s">
        <v>8</v>
      </c>
      <c r="K96" s="3" t="s">
        <v>9</v>
      </c>
      <c r="L96" s="3">
        <v>-9.5</v>
      </c>
    </row>
    <row r="97" spans="1:12" x14ac:dyDescent="0.25">
      <c r="A97" s="44">
        <f t="shared" si="2"/>
        <v>0</v>
      </c>
      <c r="B97" s="50" t="str">
        <f>VLOOKUP(K97,Lookup!$A$1:$D$34,4,FALSE)</f>
        <v>zf_close</v>
      </c>
      <c r="C97" s="9">
        <v>43070</v>
      </c>
      <c r="D97" s="3">
        <v>2017</v>
      </c>
      <c r="E97" s="3">
        <v>12</v>
      </c>
      <c r="F97" s="3" t="s">
        <v>22</v>
      </c>
      <c r="G97" s="3" t="s">
        <v>58</v>
      </c>
      <c r="H97">
        <v>1</v>
      </c>
      <c r="I97" s="3">
        <v>1</v>
      </c>
      <c r="J97" s="3" t="s">
        <v>15</v>
      </c>
      <c r="K97" s="3" t="s">
        <v>9</v>
      </c>
      <c r="L97" s="3">
        <v>950</v>
      </c>
    </row>
    <row r="98" spans="1:12" x14ac:dyDescent="0.25">
      <c r="A98" s="44">
        <f t="shared" si="2"/>
        <v>1</v>
      </c>
      <c r="B98" s="50" t="str">
        <f>VLOOKUP(K98,Lookup!$A$1:$D$34,4,FALSE)</f>
        <v>zf_close</v>
      </c>
      <c r="C98" s="9">
        <v>43101</v>
      </c>
      <c r="D98" s="3">
        <v>2018</v>
      </c>
      <c r="E98" s="3">
        <v>1</v>
      </c>
      <c r="F98" s="3" t="s">
        <v>22</v>
      </c>
      <c r="G98" s="3">
        <v>1</v>
      </c>
      <c r="H98">
        <v>1</v>
      </c>
      <c r="I98" s="3">
        <v>1</v>
      </c>
      <c r="J98" s="3" t="s">
        <v>8</v>
      </c>
      <c r="K98" s="3" t="s">
        <v>9</v>
      </c>
      <c r="L98" s="3">
        <v>-9.5</v>
      </c>
    </row>
    <row r="99" spans="1:12" x14ac:dyDescent="0.25">
      <c r="A99" s="44">
        <f t="shared" si="2"/>
        <v>1</v>
      </c>
      <c r="B99" s="50" t="str">
        <f>VLOOKUP(K99,Lookup!$A$1:$D$34,4,FALSE)</f>
        <v>a_open</v>
      </c>
      <c r="C99" s="9">
        <v>43101</v>
      </c>
      <c r="D99" s="3">
        <v>2018</v>
      </c>
      <c r="E99" s="3">
        <v>1</v>
      </c>
      <c r="F99" s="3" t="s">
        <v>22</v>
      </c>
      <c r="G99" s="3">
        <v>1</v>
      </c>
      <c r="H99">
        <v>1</v>
      </c>
      <c r="I99" s="3">
        <v>1</v>
      </c>
      <c r="J99" s="3" t="s">
        <v>8</v>
      </c>
      <c r="K99" s="3" t="s">
        <v>14</v>
      </c>
      <c r="L99" s="3">
        <v>-9.5</v>
      </c>
    </row>
    <row r="100" spans="1:12" x14ac:dyDescent="0.25">
      <c r="A100" s="44">
        <f t="shared" si="2"/>
        <v>1</v>
      </c>
      <c r="B100" s="50" t="str">
        <f>VLOOKUP(K100,Lookup!$A$1:$D$34,4,FALSE)</f>
        <v>zf_close</v>
      </c>
      <c r="C100" s="9">
        <v>43101</v>
      </c>
      <c r="D100" s="3">
        <v>2018</v>
      </c>
      <c r="E100" s="3">
        <v>1</v>
      </c>
      <c r="F100" s="3" t="s">
        <v>22</v>
      </c>
      <c r="G100" s="3">
        <v>1</v>
      </c>
      <c r="H100">
        <v>1</v>
      </c>
      <c r="I100" s="3">
        <v>1</v>
      </c>
      <c r="J100" s="3" t="s">
        <v>15</v>
      </c>
      <c r="K100" s="3" t="s">
        <v>9</v>
      </c>
      <c r="L100" s="3">
        <v>975</v>
      </c>
    </row>
    <row r="101" spans="1:12" x14ac:dyDescent="0.25">
      <c r="A101" s="44">
        <f t="shared" si="2"/>
        <v>1</v>
      </c>
      <c r="B101" s="50" t="str">
        <f>VLOOKUP(K101,Lookup!$A$1:$D$34,4,FALSE)</f>
        <v>zd_other</v>
      </c>
      <c r="C101" s="9">
        <v>43101</v>
      </c>
      <c r="D101" s="3">
        <v>2018</v>
      </c>
      <c r="E101" s="3">
        <v>1</v>
      </c>
      <c r="F101" s="3" t="s">
        <v>22</v>
      </c>
      <c r="G101" s="3">
        <v>1</v>
      </c>
      <c r="H101">
        <v>1</v>
      </c>
      <c r="I101" s="3">
        <v>1</v>
      </c>
      <c r="J101" s="3" t="s">
        <v>15</v>
      </c>
      <c r="K101" s="3" t="s">
        <v>18</v>
      </c>
      <c r="L101" s="3">
        <v>25</v>
      </c>
    </row>
    <row r="102" spans="1:12" x14ac:dyDescent="0.25">
      <c r="A102" s="44">
        <f t="shared" si="2"/>
        <v>1</v>
      </c>
      <c r="B102" s="50" t="str">
        <f>VLOOKUP(K102,Lookup!$A$1:$D$34,4,FALSE)</f>
        <v>a_open</v>
      </c>
      <c r="C102" s="9">
        <v>43101</v>
      </c>
      <c r="D102" s="3">
        <v>2018</v>
      </c>
      <c r="E102" s="3">
        <v>1</v>
      </c>
      <c r="F102" s="3" t="s">
        <v>22</v>
      </c>
      <c r="G102" s="3">
        <v>1</v>
      </c>
      <c r="H102">
        <v>1</v>
      </c>
      <c r="I102" s="3">
        <v>1</v>
      </c>
      <c r="J102" s="3" t="s">
        <v>15</v>
      </c>
      <c r="K102" s="3" t="s">
        <v>14</v>
      </c>
      <c r="L102" s="3">
        <v>950</v>
      </c>
    </row>
    <row r="103" spans="1:12" x14ac:dyDescent="0.25">
      <c r="A103" s="44">
        <f t="shared" si="2"/>
        <v>1</v>
      </c>
      <c r="B103" s="50" t="str">
        <f>VLOOKUP(K103,Lookup!$A$1:$D$34,4,FALSE)</f>
        <v>z_repay_term_final</v>
      </c>
      <c r="C103" s="9">
        <v>43132</v>
      </c>
      <c r="D103" s="3">
        <v>2018</v>
      </c>
      <c r="E103" s="3">
        <v>2</v>
      </c>
      <c r="F103" s="3" t="s">
        <v>22</v>
      </c>
      <c r="G103" s="3">
        <v>1</v>
      </c>
      <c r="H103">
        <v>1</v>
      </c>
      <c r="I103" s="3">
        <v>1</v>
      </c>
      <c r="J103" s="3" t="s">
        <v>8</v>
      </c>
      <c r="K103" s="3" t="s">
        <v>17</v>
      </c>
      <c r="L103" s="3">
        <v>10</v>
      </c>
    </row>
    <row r="104" spans="1:12" x14ac:dyDescent="0.25">
      <c r="A104" s="44">
        <f t="shared" si="2"/>
        <v>1</v>
      </c>
      <c r="B104" s="50" t="str">
        <f>VLOOKUP(K104,Lookup!$A$1:$D$34,4,FALSE)</f>
        <v>za_re-measure_no_migr</v>
      </c>
      <c r="C104" s="9">
        <v>43132</v>
      </c>
      <c r="D104" s="3">
        <v>2018</v>
      </c>
      <c r="E104" s="3">
        <v>2</v>
      </c>
      <c r="F104" s="3" t="s">
        <v>22</v>
      </c>
      <c r="G104" s="3">
        <v>1</v>
      </c>
      <c r="H104">
        <v>1</v>
      </c>
      <c r="I104" s="3">
        <v>1</v>
      </c>
      <c r="J104" s="3" t="s">
        <v>8</v>
      </c>
      <c r="K104" s="3" t="s">
        <v>11</v>
      </c>
      <c r="L104" s="3">
        <v>-0.5</v>
      </c>
    </row>
    <row r="105" spans="1:12" x14ac:dyDescent="0.25">
      <c r="A105" s="44">
        <f t="shared" si="2"/>
        <v>1</v>
      </c>
      <c r="B105" s="50" t="str">
        <f>VLOOKUP(K105,Lookup!$A$1:$D$34,4,FALSE)</f>
        <v>a_open</v>
      </c>
      <c r="C105" s="9">
        <v>43132</v>
      </c>
      <c r="D105" s="3">
        <v>2018</v>
      </c>
      <c r="E105" s="3">
        <v>2</v>
      </c>
      <c r="F105" s="3" t="s">
        <v>22</v>
      </c>
      <c r="G105" s="3">
        <v>1</v>
      </c>
      <c r="H105">
        <v>1</v>
      </c>
      <c r="I105" s="3">
        <v>1</v>
      </c>
      <c r="J105" s="3" t="s">
        <v>8</v>
      </c>
      <c r="K105" s="3" t="s">
        <v>14</v>
      </c>
      <c r="L105" s="3">
        <v>-9.5</v>
      </c>
    </row>
    <row r="106" spans="1:12" x14ac:dyDescent="0.25">
      <c r="A106" s="44">
        <f t="shared" si="2"/>
        <v>1</v>
      </c>
      <c r="B106" s="50" t="str">
        <f>VLOOKUP(K106,Lookup!$A$1:$D$34,4,FALSE)</f>
        <v>zd_other</v>
      </c>
      <c r="C106" s="9">
        <v>43132</v>
      </c>
      <c r="D106" s="3">
        <v>2018</v>
      </c>
      <c r="E106" s="3">
        <v>2</v>
      </c>
      <c r="F106" s="3" t="s">
        <v>22</v>
      </c>
      <c r="G106" s="3">
        <v>1</v>
      </c>
      <c r="H106">
        <v>1</v>
      </c>
      <c r="I106" s="3">
        <v>1</v>
      </c>
      <c r="J106" s="3" t="s">
        <v>15</v>
      </c>
      <c r="K106" s="3" t="s">
        <v>18</v>
      </c>
      <c r="L106" s="3">
        <v>25</v>
      </c>
    </row>
    <row r="107" spans="1:12" x14ac:dyDescent="0.25">
      <c r="A107" s="44">
        <f t="shared" si="2"/>
        <v>1</v>
      </c>
      <c r="B107" s="50" t="str">
        <f>VLOOKUP(K107,Lookup!$A$1:$D$34,4,FALSE)</f>
        <v>z_repay_term_final</v>
      </c>
      <c r="C107" s="9">
        <v>43132</v>
      </c>
      <c r="D107" s="3">
        <v>2018</v>
      </c>
      <c r="E107" s="3">
        <v>2</v>
      </c>
      <c r="F107" s="3" t="s">
        <v>22</v>
      </c>
      <c r="G107" s="3">
        <v>1</v>
      </c>
      <c r="H107">
        <v>1</v>
      </c>
      <c r="I107" s="3">
        <v>1</v>
      </c>
      <c r="J107" s="3" t="s">
        <v>15</v>
      </c>
      <c r="K107" s="3" t="s">
        <v>17</v>
      </c>
      <c r="L107" s="3">
        <v>-1000</v>
      </c>
    </row>
    <row r="108" spans="1:12" x14ac:dyDescent="0.25">
      <c r="A108" s="44">
        <f t="shared" si="2"/>
        <v>1</v>
      </c>
      <c r="B108" s="50" t="str">
        <f>VLOOKUP(K108,Lookup!$A$1:$D$34,4,FALSE)</f>
        <v>a_open</v>
      </c>
      <c r="C108" s="9">
        <v>43132</v>
      </c>
      <c r="D108" s="3">
        <v>2018</v>
      </c>
      <c r="E108" s="3">
        <v>2</v>
      </c>
      <c r="F108" s="3" t="s">
        <v>22</v>
      </c>
      <c r="G108" s="3">
        <v>1</v>
      </c>
      <c r="H108">
        <v>1</v>
      </c>
      <c r="I108" s="3">
        <v>1</v>
      </c>
      <c r="J108" s="3" t="s">
        <v>15</v>
      </c>
      <c r="K108" s="3" t="s">
        <v>14</v>
      </c>
      <c r="L108" s="3">
        <v>975</v>
      </c>
    </row>
    <row r="109" spans="1:12" x14ac:dyDescent="0.25">
      <c r="A109" s="44">
        <f t="shared" si="2"/>
        <v>1</v>
      </c>
      <c r="B109" s="50" t="str">
        <f>VLOOKUP(K109,Lookup!$A$1:$D$34,4,FALSE)</f>
        <v>zf_close</v>
      </c>
      <c r="C109" s="9">
        <v>43101</v>
      </c>
      <c r="D109" s="3">
        <v>2018</v>
      </c>
      <c r="E109" s="3">
        <v>1</v>
      </c>
      <c r="F109" s="3" t="s">
        <v>23</v>
      </c>
      <c r="G109" s="3">
        <v>1</v>
      </c>
      <c r="H109">
        <v>1</v>
      </c>
      <c r="I109" s="3">
        <v>1</v>
      </c>
      <c r="J109" s="3" t="s">
        <v>8</v>
      </c>
      <c r="K109" s="3" t="s">
        <v>9</v>
      </c>
      <c r="L109" s="3">
        <v>-2</v>
      </c>
    </row>
    <row r="110" spans="1:12" x14ac:dyDescent="0.25">
      <c r="A110" s="44">
        <f t="shared" si="2"/>
        <v>1</v>
      </c>
      <c r="B110" s="50" t="str">
        <f>VLOOKUP(K110,Lookup!$A$1:$D$34,4,FALSE)</f>
        <v>v_drawdown_rvlv</v>
      </c>
      <c r="C110" s="9">
        <v>43101</v>
      </c>
      <c r="D110" s="3">
        <v>2018</v>
      </c>
      <c r="E110" s="3">
        <v>1</v>
      </c>
      <c r="F110" s="3" t="s">
        <v>23</v>
      </c>
      <c r="G110" s="3">
        <v>1</v>
      </c>
      <c r="H110">
        <v>1</v>
      </c>
      <c r="I110" s="3">
        <v>1</v>
      </c>
      <c r="J110" s="3" t="s">
        <v>8</v>
      </c>
      <c r="K110" s="3" t="s">
        <v>24</v>
      </c>
      <c r="L110" s="3">
        <v>-2.2000000000000002</v>
      </c>
    </row>
    <row r="111" spans="1:12" x14ac:dyDescent="0.25">
      <c r="A111" s="44">
        <f t="shared" si="2"/>
        <v>1</v>
      </c>
      <c r="B111" s="50" t="str">
        <f>VLOOKUP(K111,Lookup!$A$1:$D$34,4,FALSE)</f>
        <v>za_re-measure_no_migr</v>
      </c>
      <c r="C111" s="9">
        <v>43101</v>
      </c>
      <c r="D111" s="3">
        <v>2018</v>
      </c>
      <c r="E111" s="3">
        <v>1</v>
      </c>
      <c r="F111" s="3" t="s">
        <v>23</v>
      </c>
      <c r="G111" s="3">
        <v>1</v>
      </c>
      <c r="H111">
        <v>1</v>
      </c>
      <c r="I111" s="3">
        <v>1</v>
      </c>
      <c r="J111" s="3" t="s">
        <v>8</v>
      </c>
      <c r="K111" s="3" t="s">
        <v>11</v>
      </c>
      <c r="L111" s="3">
        <v>0.2</v>
      </c>
    </row>
    <row r="112" spans="1:12" x14ac:dyDescent="0.25">
      <c r="A112" s="44">
        <f t="shared" si="2"/>
        <v>1</v>
      </c>
      <c r="B112" s="50" t="str">
        <f>VLOOKUP(K112,Lookup!$A$1:$D$34,4,FALSE)</f>
        <v>zf_close</v>
      </c>
      <c r="C112" s="9">
        <v>43101</v>
      </c>
      <c r="D112" s="3">
        <v>2018</v>
      </c>
      <c r="E112" s="3">
        <v>1</v>
      </c>
      <c r="F112" s="3" t="s">
        <v>23</v>
      </c>
      <c r="G112" s="3">
        <v>1</v>
      </c>
      <c r="H112">
        <v>1</v>
      </c>
      <c r="I112" s="3">
        <v>1</v>
      </c>
      <c r="J112" s="3" t="s">
        <v>15</v>
      </c>
      <c r="K112" s="3" t="s">
        <v>9</v>
      </c>
      <c r="L112" s="3">
        <v>100</v>
      </c>
    </row>
    <row r="113" spans="1:12" x14ac:dyDescent="0.25">
      <c r="A113" s="44">
        <f t="shared" si="2"/>
        <v>1</v>
      </c>
      <c r="B113" s="50" t="str">
        <f>VLOOKUP(K113,Lookup!$A$1:$D$34,4,FALSE)</f>
        <v>v_drawdown_rvlv</v>
      </c>
      <c r="C113" s="9">
        <v>43101</v>
      </c>
      <c r="D113" s="3">
        <v>2018</v>
      </c>
      <c r="E113" s="3">
        <v>1</v>
      </c>
      <c r="F113" s="3" t="s">
        <v>23</v>
      </c>
      <c r="G113" s="3">
        <v>1</v>
      </c>
      <c r="H113">
        <v>1</v>
      </c>
      <c r="I113" s="3">
        <v>1</v>
      </c>
      <c r="J113" s="3" t="s">
        <v>15</v>
      </c>
      <c r="K113" s="3" t="s">
        <v>24</v>
      </c>
      <c r="L113" s="3">
        <v>110</v>
      </c>
    </row>
    <row r="114" spans="1:12" x14ac:dyDescent="0.25">
      <c r="A114" s="44">
        <f t="shared" si="2"/>
        <v>1</v>
      </c>
      <c r="B114" s="50" t="str">
        <f>VLOOKUP(K114,Lookup!$A$1:$D$34,4,FALSE)</f>
        <v>zd_other</v>
      </c>
      <c r="C114" s="9">
        <v>43101</v>
      </c>
      <c r="D114" s="3">
        <v>2018</v>
      </c>
      <c r="E114" s="3">
        <v>1</v>
      </c>
      <c r="F114" s="3" t="s">
        <v>23</v>
      </c>
      <c r="G114" s="3">
        <v>1</v>
      </c>
      <c r="H114">
        <v>1</v>
      </c>
      <c r="I114" s="3">
        <v>1</v>
      </c>
      <c r="J114" s="3" t="s">
        <v>15</v>
      </c>
      <c r="K114" s="3" t="s">
        <v>18</v>
      </c>
      <c r="L114" s="3">
        <v>-10</v>
      </c>
    </row>
    <row r="115" spans="1:12" x14ac:dyDescent="0.25">
      <c r="A115" s="44">
        <f t="shared" si="2"/>
        <v>1</v>
      </c>
      <c r="B115" s="50" t="str">
        <f>VLOOKUP(K115,Lookup!$A$1:$D$34,4,FALSE)</f>
        <v>zf_close</v>
      </c>
      <c r="C115" s="9">
        <v>43132</v>
      </c>
      <c r="D115" s="3">
        <v>2018</v>
      </c>
      <c r="E115" s="3">
        <v>2</v>
      </c>
      <c r="F115" s="3" t="s">
        <v>23</v>
      </c>
      <c r="G115" s="3">
        <v>1</v>
      </c>
      <c r="H115">
        <v>2</v>
      </c>
      <c r="I115" s="3">
        <v>2</v>
      </c>
      <c r="J115" s="3" t="s">
        <v>8</v>
      </c>
      <c r="K115" s="3" t="s">
        <v>9</v>
      </c>
      <c r="L115" s="3">
        <v>0.02</v>
      </c>
    </row>
    <row r="116" spans="1:12" x14ac:dyDescent="0.25">
      <c r="A116" s="44">
        <f t="shared" si="2"/>
        <v>1</v>
      </c>
      <c r="B116" s="50" t="str">
        <f>VLOOKUP(K116,Lookup!$A$1:$D$34,4,FALSE)</f>
        <v>v_drawdown_rvlv</v>
      </c>
      <c r="C116" s="9">
        <v>43132</v>
      </c>
      <c r="D116" s="3">
        <v>2018</v>
      </c>
      <c r="E116" s="3">
        <v>2</v>
      </c>
      <c r="F116" s="3" t="s">
        <v>23</v>
      </c>
      <c r="G116" s="3">
        <v>1</v>
      </c>
      <c r="H116">
        <v>2</v>
      </c>
      <c r="I116" s="3">
        <v>2</v>
      </c>
      <c r="J116" s="3" t="s">
        <v>8</v>
      </c>
      <c r="K116" s="3" t="s">
        <v>24</v>
      </c>
      <c r="L116" s="3">
        <v>2.2000000000000002</v>
      </c>
    </row>
    <row r="117" spans="1:12" x14ac:dyDescent="0.25">
      <c r="A117" s="44">
        <f t="shared" si="2"/>
        <v>1</v>
      </c>
      <c r="B117" s="50" t="str">
        <f>VLOOKUP(K117,Lookup!$A$1:$D$34,4,FALSE)</f>
        <v>v_repay_rvlv</v>
      </c>
      <c r="C117" s="9">
        <v>43132</v>
      </c>
      <c r="D117" s="3">
        <v>2018</v>
      </c>
      <c r="E117" s="3">
        <v>2</v>
      </c>
      <c r="F117" s="3" t="s">
        <v>23</v>
      </c>
      <c r="G117" s="3">
        <v>1</v>
      </c>
      <c r="H117">
        <v>2</v>
      </c>
      <c r="I117" s="3">
        <v>2</v>
      </c>
      <c r="J117" s="3" t="s">
        <v>8</v>
      </c>
      <c r="K117" s="3" t="s">
        <v>10</v>
      </c>
      <c r="L117" s="3">
        <v>30</v>
      </c>
    </row>
    <row r="118" spans="1:12" x14ac:dyDescent="0.25">
      <c r="A118" s="44">
        <f t="shared" si="2"/>
        <v>1</v>
      </c>
      <c r="B118" s="50" t="str">
        <f>VLOOKUP(K118,Lookup!$A$1:$D$34,4,FALSE)</f>
        <v>zb_re-measure_migr</v>
      </c>
      <c r="C118" s="9">
        <v>43132</v>
      </c>
      <c r="D118" s="3">
        <v>2018</v>
      </c>
      <c r="E118" s="3">
        <v>2</v>
      </c>
      <c r="F118" s="3" t="s">
        <v>23</v>
      </c>
      <c r="G118" s="3">
        <v>1</v>
      </c>
      <c r="H118">
        <v>2</v>
      </c>
      <c r="I118" s="3">
        <v>2</v>
      </c>
      <c r="J118" s="3" t="s">
        <v>8</v>
      </c>
      <c r="K118" s="3" t="s">
        <v>12</v>
      </c>
      <c r="L118" s="3">
        <v>-30.18</v>
      </c>
    </row>
    <row r="119" spans="1:12" x14ac:dyDescent="0.25">
      <c r="A119" s="44">
        <f t="shared" si="2"/>
        <v>1</v>
      </c>
      <c r="B119" s="50" t="str">
        <f>VLOOKUP(K119,Lookup!$A$1:$D$34,4,FALSE)</f>
        <v>b_tfr.1.2</v>
      </c>
      <c r="C119" s="9">
        <v>43132</v>
      </c>
      <c r="D119" s="3">
        <v>2018</v>
      </c>
      <c r="E119" s="3">
        <v>2</v>
      </c>
      <c r="F119" s="3" t="s">
        <v>23</v>
      </c>
      <c r="G119" s="3">
        <v>1</v>
      </c>
      <c r="H119">
        <v>2</v>
      </c>
      <c r="I119" s="3">
        <v>2</v>
      </c>
      <c r="J119" s="3" t="s">
        <v>8</v>
      </c>
      <c r="K119" s="3" t="s">
        <v>160</v>
      </c>
      <c r="L119" s="3">
        <v>-2</v>
      </c>
    </row>
    <row r="120" spans="1:12" x14ac:dyDescent="0.25">
      <c r="A120" s="44">
        <f t="shared" si="2"/>
        <v>1</v>
      </c>
      <c r="B120" s="50" t="str">
        <f>VLOOKUP(K120,Lookup!$A$1:$D$34,4,FALSE)</f>
        <v>b_tfr.1.2</v>
      </c>
      <c r="C120" s="9">
        <v>43132</v>
      </c>
      <c r="D120" s="3">
        <v>2018</v>
      </c>
      <c r="E120" s="3">
        <v>2</v>
      </c>
      <c r="F120" s="3" t="s">
        <v>23</v>
      </c>
      <c r="G120" s="3">
        <v>1</v>
      </c>
      <c r="H120">
        <v>2</v>
      </c>
      <c r="I120" s="3">
        <v>1</v>
      </c>
      <c r="J120" s="3" t="s">
        <v>8</v>
      </c>
      <c r="K120" s="3" t="s">
        <v>160</v>
      </c>
      <c r="L120" s="3">
        <v>2</v>
      </c>
    </row>
    <row r="121" spans="1:12" x14ac:dyDescent="0.25">
      <c r="A121" s="44">
        <f t="shared" si="2"/>
        <v>1</v>
      </c>
      <c r="B121" s="50" t="str">
        <f>VLOOKUP(K121,Lookup!$A$1:$D$34,4,FALSE)</f>
        <v>a_open</v>
      </c>
      <c r="C121" s="9">
        <v>43132</v>
      </c>
      <c r="D121" s="3">
        <v>2018</v>
      </c>
      <c r="E121" s="3">
        <v>2</v>
      </c>
      <c r="F121" s="3" t="s">
        <v>23</v>
      </c>
      <c r="G121" s="3">
        <v>1</v>
      </c>
      <c r="H121">
        <v>2</v>
      </c>
      <c r="I121" s="3">
        <v>1</v>
      </c>
      <c r="J121" s="3" t="s">
        <v>8</v>
      </c>
      <c r="K121" s="3" t="s">
        <v>14</v>
      </c>
      <c r="L121" s="3">
        <v>-2</v>
      </c>
    </row>
    <row r="122" spans="1:12" x14ac:dyDescent="0.25">
      <c r="A122" s="44">
        <f t="shared" si="2"/>
        <v>1</v>
      </c>
      <c r="B122" s="50" t="str">
        <f>VLOOKUP(K122,Lookup!$A$1:$D$34,4,FALSE)</f>
        <v>zf_close</v>
      </c>
      <c r="C122" s="9">
        <v>43132</v>
      </c>
      <c r="D122" s="3">
        <v>2018</v>
      </c>
      <c r="E122" s="3">
        <v>2</v>
      </c>
      <c r="F122" s="3" t="s">
        <v>23</v>
      </c>
      <c r="G122" s="3">
        <v>1</v>
      </c>
      <c r="H122">
        <v>2</v>
      </c>
      <c r="I122" s="3">
        <v>2</v>
      </c>
      <c r="J122" s="3" t="s">
        <v>15</v>
      </c>
      <c r="K122" s="3" t="s">
        <v>9</v>
      </c>
      <c r="L122" s="3">
        <v>-1500</v>
      </c>
    </row>
    <row r="123" spans="1:12" x14ac:dyDescent="0.25">
      <c r="A123" s="44">
        <f t="shared" si="2"/>
        <v>1</v>
      </c>
      <c r="B123" s="50" t="str">
        <f>VLOOKUP(K123,Lookup!$A$1:$D$34,4,FALSE)</f>
        <v>v_drawdown_rvlv</v>
      </c>
      <c r="C123" s="9">
        <v>43132</v>
      </c>
      <c r="D123" s="3">
        <v>2018</v>
      </c>
      <c r="E123" s="3">
        <v>2</v>
      </c>
      <c r="F123" s="3" t="s">
        <v>23</v>
      </c>
      <c r="G123" s="3">
        <v>1</v>
      </c>
      <c r="H123">
        <v>2</v>
      </c>
      <c r="I123" s="3">
        <v>2</v>
      </c>
      <c r="J123" s="3" t="s">
        <v>15</v>
      </c>
      <c r="K123" s="3" t="s">
        <v>24</v>
      </c>
      <c r="L123" s="3">
        <v>-110</v>
      </c>
    </row>
    <row r="124" spans="1:12" x14ac:dyDescent="0.25">
      <c r="A124" s="44">
        <f t="shared" si="2"/>
        <v>1</v>
      </c>
      <c r="B124" s="50" t="str">
        <f>VLOOKUP(K124,Lookup!$A$1:$D$34,4,FALSE)</f>
        <v>zd_other</v>
      </c>
      <c r="C124" s="9">
        <v>43132</v>
      </c>
      <c r="D124" s="3">
        <v>2018</v>
      </c>
      <c r="E124" s="3">
        <v>2</v>
      </c>
      <c r="F124" s="3" t="s">
        <v>23</v>
      </c>
      <c r="G124" s="3">
        <v>1</v>
      </c>
      <c r="H124">
        <v>2</v>
      </c>
      <c r="I124" s="3">
        <v>2</v>
      </c>
      <c r="J124" s="3" t="s">
        <v>15</v>
      </c>
      <c r="K124" s="3" t="s">
        <v>18</v>
      </c>
      <c r="L124" s="3">
        <v>10</v>
      </c>
    </row>
    <row r="125" spans="1:12" x14ac:dyDescent="0.25">
      <c r="A125" s="44">
        <f t="shared" si="2"/>
        <v>1</v>
      </c>
      <c r="B125" s="50" t="str">
        <f>VLOOKUP(K125,Lookup!$A$1:$D$34,4,FALSE)</f>
        <v>v_repay_rvlv</v>
      </c>
      <c r="C125" s="9">
        <v>43132</v>
      </c>
      <c r="D125" s="3">
        <v>2018</v>
      </c>
      <c r="E125" s="3">
        <v>2</v>
      </c>
      <c r="F125" s="3" t="s">
        <v>23</v>
      </c>
      <c r="G125" s="3">
        <v>1</v>
      </c>
      <c r="H125">
        <v>2</v>
      </c>
      <c r="I125" s="3">
        <v>2</v>
      </c>
      <c r="J125" s="3" t="s">
        <v>15</v>
      </c>
      <c r="K125" s="3" t="s">
        <v>10</v>
      </c>
      <c r="L125" s="3">
        <v>-1500</v>
      </c>
    </row>
    <row r="126" spans="1:12" x14ac:dyDescent="0.25">
      <c r="A126" s="44">
        <f t="shared" si="2"/>
        <v>1</v>
      </c>
      <c r="B126" s="50" t="str">
        <f>VLOOKUP(K126,Lookup!$A$1:$D$34,4,FALSE)</f>
        <v>b_tfr.1.2</v>
      </c>
      <c r="C126" s="9">
        <v>43132</v>
      </c>
      <c r="D126" s="3">
        <v>2018</v>
      </c>
      <c r="E126" s="3">
        <v>2</v>
      </c>
      <c r="F126" s="3" t="s">
        <v>23</v>
      </c>
      <c r="G126" s="3">
        <v>1</v>
      </c>
      <c r="H126">
        <v>2</v>
      </c>
      <c r="I126" s="3">
        <v>2</v>
      </c>
      <c r="J126" s="3" t="s">
        <v>15</v>
      </c>
      <c r="K126" s="3" t="s">
        <v>160</v>
      </c>
      <c r="L126" s="3">
        <v>100</v>
      </c>
    </row>
    <row r="127" spans="1:12" x14ac:dyDescent="0.25">
      <c r="A127" s="44">
        <f t="shared" si="2"/>
        <v>1</v>
      </c>
      <c r="B127" s="50" t="str">
        <f>VLOOKUP(K127,Lookup!$A$1:$D$34,4,FALSE)</f>
        <v>b_tfr.1.2</v>
      </c>
      <c r="C127" s="9">
        <v>43132</v>
      </c>
      <c r="D127" s="3">
        <v>2018</v>
      </c>
      <c r="E127" s="3">
        <v>2</v>
      </c>
      <c r="F127" s="3" t="s">
        <v>23</v>
      </c>
      <c r="G127" s="3">
        <v>1</v>
      </c>
      <c r="H127">
        <v>2</v>
      </c>
      <c r="I127" s="3">
        <v>1</v>
      </c>
      <c r="J127" s="3" t="s">
        <v>15</v>
      </c>
      <c r="K127" s="3" t="s">
        <v>160</v>
      </c>
      <c r="L127" s="3">
        <v>-100</v>
      </c>
    </row>
    <row r="128" spans="1:12" x14ac:dyDescent="0.25">
      <c r="A128" s="44">
        <f t="shared" si="2"/>
        <v>1</v>
      </c>
      <c r="B128" s="50" t="str">
        <f>VLOOKUP(K128,Lookup!$A$1:$D$34,4,FALSE)</f>
        <v>a_open</v>
      </c>
      <c r="C128" s="9">
        <v>43132</v>
      </c>
      <c r="D128" s="3">
        <v>2018</v>
      </c>
      <c r="E128" s="3">
        <v>2</v>
      </c>
      <c r="F128" s="3" t="s">
        <v>23</v>
      </c>
      <c r="G128" s="3">
        <v>1</v>
      </c>
      <c r="H128">
        <v>2</v>
      </c>
      <c r="I128" s="3">
        <v>1</v>
      </c>
      <c r="J128" s="3" t="s">
        <v>15</v>
      </c>
      <c r="K128" s="3" t="s">
        <v>14</v>
      </c>
      <c r="L128" s="3">
        <v>100</v>
      </c>
    </row>
    <row r="129" spans="1:12" x14ac:dyDescent="0.25">
      <c r="A129" s="44">
        <f t="shared" si="2"/>
        <v>1</v>
      </c>
      <c r="B129" s="50" t="str">
        <f>VLOOKUP(K129,Lookup!$A$1:$D$34,4,FALSE)</f>
        <v>zf_close</v>
      </c>
      <c r="C129" s="9">
        <v>43160</v>
      </c>
      <c r="D129" s="3">
        <v>2018</v>
      </c>
      <c r="E129" s="3">
        <v>3</v>
      </c>
      <c r="F129" s="3" t="s">
        <v>23</v>
      </c>
      <c r="G129" s="3">
        <v>2</v>
      </c>
      <c r="H129">
        <v>2</v>
      </c>
      <c r="I129" s="3">
        <v>2</v>
      </c>
      <c r="J129" s="3" t="s">
        <v>8</v>
      </c>
      <c r="K129" s="3" t="s">
        <v>9</v>
      </c>
      <c r="L129" s="3">
        <v>-2</v>
      </c>
    </row>
    <row r="130" spans="1:12" x14ac:dyDescent="0.25">
      <c r="A130" s="44">
        <f t="shared" si="2"/>
        <v>1</v>
      </c>
      <c r="B130" s="50" t="str">
        <f>VLOOKUP(K130,Lookup!$A$1:$D$34,4,FALSE)</f>
        <v>zc_model_change</v>
      </c>
      <c r="C130" s="9">
        <v>43160</v>
      </c>
      <c r="D130" s="3">
        <v>2018</v>
      </c>
      <c r="E130" s="3">
        <v>3</v>
      </c>
      <c r="F130" s="3" t="s">
        <v>23</v>
      </c>
      <c r="G130" s="3">
        <v>2</v>
      </c>
      <c r="H130">
        <v>2</v>
      </c>
      <c r="I130" s="3">
        <v>2</v>
      </c>
      <c r="J130" s="3" t="s">
        <v>8</v>
      </c>
      <c r="K130" s="3" t="s">
        <v>25</v>
      </c>
      <c r="L130" s="3">
        <v>1</v>
      </c>
    </row>
    <row r="131" spans="1:12" x14ac:dyDescent="0.25">
      <c r="A131" s="44">
        <f t="shared" si="2"/>
        <v>1</v>
      </c>
      <c r="B131" s="50" t="str">
        <f>VLOOKUP(K131,Lookup!$A$1:$D$34,4,FALSE)</f>
        <v>za_re-measure_no_migr</v>
      </c>
      <c r="C131" s="9">
        <v>43160</v>
      </c>
      <c r="D131" s="3">
        <v>2018</v>
      </c>
      <c r="E131" s="3">
        <v>3</v>
      </c>
      <c r="F131" s="3" t="s">
        <v>23</v>
      </c>
      <c r="G131" s="3">
        <v>2</v>
      </c>
      <c r="H131">
        <v>2</v>
      </c>
      <c r="I131" s="3">
        <v>2</v>
      </c>
      <c r="J131" s="3" t="s">
        <v>8</v>
      </c>
      <c r="K131" s="3" t="s">
        <v>11</v>
      </c>
      <c r="L131" s="3">
        <v>-3.02</v>
      </c>
    </row>
    <row r="132" spans="1:12" x14ac:dyDescent="0.25">
      <c r="A132" s="44">
        <f t="shared" si="2"/>
        <v>1</v>
      </c>
      <c r="B132" s="50" t="str">
        <f>VLOOKUP(K132,Lookup!$A$1:$D$34,4,FALSE)</f>
        <v>a_open</v>
      </c>
      <c r="C132" s="9">
        <v>43160</v>
      </c>
      <c r="D132" s="3">
        <v>2018</v>
      </c>
      <c r="E132" s="3">
        <v>3</v>
      </c>
      <c r="F132" s="3" t="s">
        <v>23</v>
      </c>
      <c r="G132" s="3">
        <v>2</v>
      </c>
      <c r="H132">
        <v>2</v>
      </c>
      <c r="I132" s="3">
        <v>2</v>
      </c>
      <c r="J132" s="3" t="s">
        <v>8</v>
      </c>
      <c r="K132" s="3" t="s">
        <v>14</v>
      </c>
      <c r="L132" s="3">
        <v>0.02</v>
      </c>
    </row>
    <row r="133" spans="1:12" x14ac:dyDescent="0.25">
      <c r="A133" s="44">
        <f t="shared" si="2"/>
        <v>1</v>
      </c>
      <c r="B133" s="50" t="str">
        <f>VLOOKUP(K133,Lookup!$A$1:$D$34,4,FALSE)</f>
        <v>zf_close</v>
      </c>
      <c r="C133" s="9">
        <v>43160</v>
      </c>
      <c r="D133" s="3">
        <v>2018</v>
      </c>
      <c r="E133" s="3">
        <v>3</v>
      </c>
      <c r="F133" s="3" t="s">
        <v>23</v>
      </c>
      <c r="G133" s="3">
        <v>2</v>
      </c>
      <c r="H133">
        <v>2</v>
      </c>
      <c r="I133" s="3">
        <v>2</v>
      </c>
      <c r="J133" s="3" t="s">
        <v>15</v>
      </c>
      <c r="K133" s="3" t="s">
        <v>9</v>
      </c>
      <c r="L133" s="3">
        <v>100</v>
      </c>
    </row>
    <row r="134" spans="1:12" x14ac:dyDescent="0.25">
      <c r="A134" s="44">
        <f t="shared" si="2"/>
        <v>1</v>
      </c>
      <c r="B134" s="50" t="str">
        <f>VLOOKUP(K134,Lookup!$A$1:$D$34,4,FALSE)</f>
        <v>v_drawdown_rvlv</v>
      </c>
      <c r="C134" s="9">
        <v>43160</v>
      </c>
      <c r="D134" s="3">
        <v>2018</v>
      </c>
      <c r="E134" s="3">
        <v>3</v>
      </c>
      <c r="F134" s="3" t="s">
        <v>23</v>
      </c>
      <c r="G134" s="3">
        <v>2</v>
      </c>
      <c r="H134">
        <v>2</v>
      </c>
      <c r="I134" s="3">
        <v>2</v>
      </c>
      <c r="J134" s="3" t="s">
        <v>15</v>
      </c>
      <c r="K134" s="3" t="s">
        <v>24</v>
      </c>
      <c r="L134" s="3">
        <v>110</v>
      </c>
    </row>
    <row r="135" spans="1:12" x14ac:dyDescent="0.25">
      <c r="A135" s="44">
        <f t="shared" si="2"/>
        <v>1</v>
      </c>
      <c r="B135" s="50" t="str">
        <f>VLOOKUP(K135,Lookup!$A$1:$D$34,4,FALSE)</f>
        <v>zd_other</v>
      </c>
      <c r="C135" s="9">
        <v>43160</v>
      </c>
      <c r="D135" s="3">
        <v>2018</v>
      </c>
      <c r="E135" s="3">
        <v>3</v>
      </c>
      <c r="F135" s="3" t="s">
        <v>23</v>
      </c>
      <c r="G135" s="3">
        <v>2</v>
      </c>
      <c r="H135">
        <v>2</v>
      </c>
      <c r="I135" s="3">
        <v>2</v>
      </c>
      <c r="J135" s="3" t="s">
        <v>15</v>
      </c>
      <c r="K135" s="3" t="s">
        <v>18</v>
      </c>
      <c r="L135" s="3">
        <v>-10</v>
      </c>
    </row>
    <row r="136" spans="1:12" x14ac:dyDescent="0.25">
      <c r="A136" s="44">
        <f t="shared" ref="A136:A199" si="3">IF(OR(AND(C136=$A$1,J136="op"),AND(C136=$A$2,J136="cl"),AND(C136&gt;=$A$1,C136&lt;=$A$2,J136&lt;&gt;"op",J136&lt;&gt;"cl")),1,0)</f>
        <v>1</v>
      </c>
      <c r="B136" s="50" t="str">
        <f>VLOOKUP(K136,Lookup!$A$1:$D$34,4,FALSE)</f>
        <v>v_repay_rvlv</v>
      </c>
      <c r="C136" s="9">
        <v>43160</v>
      </c>
      <c r="D136" s="3">
        <v>2018</v>
      </c>
      <c r="E136" s="3">
        <v>3</v>
      </c>
      <c r="F136" s="3" t="s">
        <v>23</v>
      </c>
      <c r="G136" s="3">
        <v>2</v>
      </c>
      <c r="H136">
        <v>2</v>
      </c>
      <c r="I136" s="3">
        <v>2</v>
      </c>
      <c r="J136" s="3" t="s">
        <v>15</v>
      </c>
      <c r="K136" s="3" t="s">
        <v>10</v>
      </c>
      <c r="L136" s="3">
        <v>1500</v>
      </c>
    </row>
    <row r="137" spans="1:12" x14ac:dyDescent="0.25">
      <c r="A137" s="44">
        <f t="shared" si="3"/>
        <v>1</v>
      </c>
      <c r="B137" s="50" t="str">
        <f>VLOOKUP(K137,Lookup!$A$1:$D$34,4,FALSE)</f>
        <v>a_open</v>
      </c>
      <c r="C137" s="9">
        <v>43160</v>
      </c>
      <c r="D137" s="3">
        <v>2018</v>
      </c>
      <c r="E137" s="3">
        <v>3</v>
      </c>
      <c r="F137" s="3" t="s">
        <v>23</v>
      </c>
      <c r="G137" s="3">
        <v>2</v>
      </c>
      <c r="H137">
        <v>2</v>
      </c>
      <c r="I137" s="3">
        <v>2</v>
      </c>
      <c r="J137" s="3" t="s">
        <v>15</v>
      </c>
      <c r="K137" s="3" t="s">
        <v>14</v>
      </c>
      <c r="L137" s="3">
        <v>-1500</v>
      </c>
    </row>
    <row r="138" spans="1:12" x14ac:dyDescent="0.25">
      <c r="A138" s="44">
        <f t="shared" si="3"/>
        <v>1</v>
      </c>
      <c r="B138" s="50" t="str">
        <f>VLOOKUP(K138,Lookup!$A$1:$D$34,4,FALSE)</f>
        <v>v_drawdown_rvlv</v>
      </c>
      <c r="C138" s="9">
        <v>43191</v>
      </c>
      <c r="D138" s="3">
        <v>2018</v>
      </c>
      <c r="E138" s="3">
        <v>4</v>
      </c>
      <c r="F138" s="3" t="s">
        <v>23</v>
      </c>
      <c r="G138" s="3">
        <v>2</v>
      </c>
      <c r="H138">
        <v>2</v>
      </c>
      <c r="I138" s="3">
        <v>2</v>
      </c>
      <c r="J138" s="3" t="s">
        <v>8</v>
      </c>
      <c r="K138" s="3" t="s">
        <v>24</v>
      </c>
      <c r="L138" s="3">
        <v>2.2000000000000002</v>
      </c>
    </row>
    <row r="139" spans="1:12" x14ac:dyDescent="0.25">
      <c r="A139" s="44">
        <f t="shared" si="3"/>
        <v>1</v>
      </c>
      <c r="B139" s="50" t="str">
        <f>VLOOKUP(K139,Lookup!$A$1:$D$34,4,FALSE)</f>
        <v>za_re-measure_no_migr</v>
      </c>
      <c r="C139" s="9">
        <v>43191</v>
      </c>
      <c r="D139" s="3">
        <v>2018</v>
      </c>
      <c r="E139" s="3">
        <v>4</v>
      </c>
      <c r="F139" s="3" t="s">
        <v>23</v>
      </c>
      <c r="G139" s="3">
        <v>2</v>
      </c>
      <c r="H139">
        <v>2</v>
      </c>
      <c r="I139" s="3">
        <v>2</v>
      </c>
      <c r="J139" s="3" t="s">
        <v>8</v>
      </c>
      <c r="K139" s="3" t="s">
        <v>11</v>
      </c>
      <c r="L139" s="3">
        <v>-0.2</v>
      </c>
    </row>
    <row r="140" spans="1:12" x14ac:dyDescent="0.25">
      <c r="A140" s="44">
        <f t="shared" si="3"/>
        <v>1</v>
      </c>
      <c r="B140" s="50" t="str">
        <f>VLOOKUP(K140,Lookup!$A$1:$D$34,4,FALSE)</f>
        <v>a_open</v>
      </c>
      <c r="C140" s="9">
        <v>43191</v>
      </c>
      <c r="D140" s="3">
        <v>2018</v>
      </c>
      <c r="E140" s="3">
        <v>4</v>
      </c>
      <c r="F140" s="3" t="s">
        <v>23</v>
      </c>
      <c r="G140" s="3">
        <v>2</v>
      </c>
      <c r="H140">
        <v>2</v>
      </c>
      <c r="I140" s="3">
        <v>2</v>
      </c>
      <c r="J140" s="3" t="s">
        <v>8</v>
      </c>
      <c r="K140" s="3" t="s">
        <v>14</v>
      </c>
      <c r="L140" s="3">
        <v>-2</v>
      </c>
    </row>
    <row r="141" spans="1:12" x14ac:dyDescent="0.25">
      <c r="A141" s="44">
        <f t="shared" si="3"/>
        <v>1</v>
      </c>
      <c r="B141" s="50" t="str">
        <f>VLOOKUP(K141,Lookup!$A$1:$D$34,4,FALSE)</f>
        <v>v_drawdown_rvlv</v>
      </c>
      <c r="C141" s="9">
        <v>43191</v>
      </c>
      <c r="D141" s="3">
        <v>2018</v>
      </c>
      <c r="E141" s="3">
        <v>4</v>
      </c>
      <c r="F141" s="3" t="s">
        <v>23</v>
      </c>
      <c r="G141" s="3">
        <v>2</v>
      </c>
      <c r="H141">
        <v>2</v>
      </c>
      <c r="I141" s="3">
        <v>2</v>
      </c>
      <c r="J141" s="3" t="s">
        <v>15</v>
      </c>
      <c r="K141" s="3" t="s">
        <v>24</v>
      </c>
      <c r="L141" s="3">
        <v>-110</v>
      </c>
    </row>
    <row r="142" spans="1:12" x14ac:dyDescent="0.25">
      <c r="A142" s="44">
        <f t="shared" si="3"/>
        <v>1</v>
      </c>
      <c r="B142" s="50" t="str">
        <f>VLOOKUP(K142,Lookup!$A$1:$D$34,4,FALSE)</f>
        <v>zd_other</v>
      </c>
      <c r="C142" s="9">
        <v>43191</v>
      </c>
      <c r="D142" s="3">
        <v>2018</v>
      </c>
      <c r="E142" s="3">
        <v>4</v>
      </c>
      <c r="F142" s="3" t="s">
        <v>23</v>
      </c>
      <c r="G142" s="3">
        <v>2</v>
      </c>
      <c r="H142">
        <v>2</v>
      </c>
      <c r="I142" s="3">
        <v>2</v>
      </c>
      <c r="J142" s="3" t="s">
        <v>15</v>
      </c>
      <c r="K142" s="3" t="s">
        <v>18</v>
      </c>
      <c r="L142" s="3">
        <v>10</v>
      </c>
    </row>
    <row r="143" spans="1:12" x14ac:dyDescent="0.25">
      <c r="A143" s="44">
        <f t="shared" si="3"/>
        <v>1</v>
      </c>
      <c r="B143" s="50" t="str">
        <f>VLOOKUP(K143,Lookup!$A$1:$D$34,4,FALSE)</f>
        <v>a_open</v>
      </c>
      <c r="C143" s="9">
        <v>43191</v>
      </c>
      <c r="D143" s="3">
        <v>2018</v>
      </c>
      <c r="E143" s="3">
        <v>4</v>
      </c>
      <c r="F143" s="3" t="s">
        <v>23</v>
      </c>
      <c r="G143" s="3">
        <v>2</v>
      </c>
      <c r="H143">
        <v>2</v>
      </c>
      <c r="I143" s="3">
        <v>2</v>
      </c>
      <c r="J143" s="3" t="s">
        <v>15</v>
      </c>
      <c r="K143" s="3" t="s">
        <v>14</v>
      </c>
      <c r="L143" s="3">
        <v>100</v>
      </c>
    </row>
    <row r="144" spans="1:12" x14ac:dyDescent="0.25">
      <c r="A144" s="44">
        <f t="shared" si="3"/>
        <v>0</v>
      </c>
      <c r="B144" s="50" t="str">
        <f>VLOOKUP(K144,Lookup!$A$1:$D$34,4,FALSE)</f>
        <v>zf_close</v>
      </c>
      <c r="C144" s="9">
        <v>43070</v>
      </c>
      <c r="D144" s="3">
        <v>2017</v>
      </c>
      <c r="E144" s="3">
        <v>12</v>
      </c>
      <c r="F144" s="3" t="s">
        <v>26</v>
      </c>
      <c r="G144" s="3" t="s">
        <v>58</v>
      </c>
      <c r="H144">
        <v>1</v>
      </c>
      <c r="I144" s="3">
        <v>1</v>
      </c>
      <c r="J144" s="3" t="s">
        <v>8</v>
      </c>
      <c r="K144" s="3" t="s">
        <v>9</v>
      </c>
      <c r="L144" s="3">
        <v>-9.5</v>
      </c>
    </row>
    <row r="145" spans="1:12" x14ac:dyDescent="0.25">
      <c r="A145" s="44">
        <f t="shared" si="3"/>
        <v>0</v>
      </c>
      <c r="B145" s="50" t="str">
        <f>VLOOKUP(K145,Lookup!$A$1:$D$34,4,FALSE)</f>
        <v>zf_close</v>
      </c>
      <c r="C145" s="9">
        <v>43070</v>
      </c>
      <c r="D145" s="3">
        <v>2017</v>
      </c>
      <c r="E145" s="3">
        <v>12</v>
      </c>
      <c r="F145" s="3" t="s">
        <v>26</v>
      </c>
      <c r="G145" s="3" t="s">
        <v>58</v>
      </c>
      <c r="H145">
        <v>1</v>
      </c>
      <c r="I145" s="3">
        <v>1</v>
      </c>
      <c r="J145" s="3" t="s">
        <v>15</v>
      </c>
      <c r="K145" s="3" t="s">
        <v>9</v>
      </c>
      <c r="L145" s="3">
        <v>900</v>
      </c>
    </row>
    <row r="146" spans="1:12" x14ac:dyDescent="0.25">
      <c r="A146" s="44">
        <f t="shared" si="3"/>
        <v>1</v>
      </c>
      <c r="B146" s="50" t="str">
        <f>VLOOKUP(K146,Lookup!$A$1:$D$34,4,FALSE)</f>
        <v>zf_close</v>
      </c>
      <c r="C146" s="9">
        <v>43101</v>
      </c>
      <c r="D146" s="3">
        <v>2018</v>
      </c>
      <c r="E146" s="3">
        <v>1</v>
      </c>
      <c r="F146" s="3" t="s">
        <v>26</v>
      </c>
      <c r="G146" s="3">
        <v>1</v>
      </c>
      <c r="H146">
        <v>1</v>
      </c>
      <c r="I146" s="3">
        <v>1</v>
      </c>
      <c r="J146" s="3" t="s">
        <v>8</v>
      </c>
      <c r="K146" s="3" t="s">
        <v>9</v>
      </c>
      <c r="L146" s="3">
        <v>-9</v>
      </c>
    </row>
    <row r="147" spans="1:12" x14ac:dyDescent="0.25">
      <c r="A147" s="44">
        <f t="shared" si="3"/>
        <v>1</v>
      </c>
      <c r="B147" s="50" t="str">
        <f>VLOOKUP(K147,Lookup!$A$1:$D$34,4,FALSE)</f>
        <v>y_repay_term</v>
      </c>
      <c r="C147" s="9">
        <v>43101</v>
      </c>
      <c r="D147" s="3">
        <v>2018</v>
      </c>
      <c r="E147" s="3">
        <v>1</v>
      </c>
      <c r="F147" s="3" t="s">
        <v>26</v>
      </c>
      <c r="G147" s="3">
        <v>1</v>
      </c>
      <c r="H147">
        <v>1</v>
      </c>
      <c r="I147" s="3">
        <v>1</v>
      </c>
      <c r="J147" s="3" t="s">
        <v>8</v>
      </c>
      <c r="K147" s="3" t="s">
        <v>21</v>
      </c>
      <c r="L147" s="3">
        <v>0.1</v>
      </c>
    </row>
    <row r="148" spans="1:12" x14ac:dyDescent="0.25">
      <c r="A148" s="44">
        <f t="shared" si="3"/>
        <v>1</v>
      </c>
      <c r="B148" s="50" t="str">
        <f>VLOOKUP(K148,Lookup!$A$1:$D$34,4,FALSE)</f>
        <v>za_re-measure_no_migr</v>
      </c>
      <c r="C148" s="9">
        <v>43101</v>
      </c>
      <c r="D148" s="3">
        <v>2018</v>
      </c>
      <c r="E148" s="3">
        <v>1</v>
      </c>
      <c r="F148" s="3" t="s">
        <v>26</v>
      </c>
      <c r="G148" s="3">
        <v>1</v>
      </c>
      <c r="H148">
        <v>1</v>
      </c>
      <c r="I148" s="3">
        <v>1</v>
      </c>
      <c r="J148" s="3" t="s">
        <v>8</v>
      </c>
      <c r="K148" s="3" t="s">
        <v>11</v>
      </c>
      <c r="L148" s="3">
        <v>0.4</v>
      </c>
    </row>
    <row r="149" spans="1:12" x14ac:dyDescent="0.25">
      <c r="A149" s="44">
        <f t="shared" si="3"/>
        <v>1</v>
      </c>
      <c r="B149" s="50" t="str">
        <f>VLOOKUP(K149,Lookup!$A$1:$D$34,4,FALSE)</f>
        <v>a_open</v>
      </c>
      <c r="C149" s="9">
        <v>43101</v>
      </c>
      <c r="D149" s="3">
        <v>2018</v>
      </c>
      <c r="E149" s="3">
        <v>1</v>
      </c>
      <c r="F149" s="3" t="s">
        <v>26</v>
      </c>
      <c r="G149" s="3">
        <v>1</v>
      </c>
      <c r="H149">
        <v>1</v>
      </c>
      <c r="I149" s="3">
        <v>1</v>
      </c>
      <c r="J149" s="3" t="s">
        <v>8</v>
      </c>
      <c r="K149" s="3" t="s">
        <v>14</v>
      </c>
      <c r="L149" s="3">
        <v>-9.5</v>
      </c>
    </row>
    <row r="150" spans="1:12" x14ac:dyDescent="0.25">
      <c r="A150" s="44">
        <f t="shared" si="3"/>
        <v>1</v>
      </c>
      <c r="B150" s="50" t="str">
        <f>VLOOKUP(K150,Lookup!$A$1:$D$34,4,FALSE)</f>
        <v>zf_close</v>
      </c>
      <c r="C150" s="9">
        <v>43101</v>
      </c>
      <c r="D150" s="3">
        <v>2018</v>
      </c>
      <c r="E150" s="3">
        <v>1</v>
      </c>
      <c r="F150" s="3" t="s">
        <v>26</v>
      </c>
      <c r="G150" s="3">
        <v>1</v>
      </c>
      <c r="H150">
        <v>1</v>
      </c>
      <c r="I150" s="3">
        <v>1</v>
      </c>
      <c r="J150" s="3" t="s">
        <v>15</v>
      </c>
      <c r="K150" s="3" t="s">
        <v>9</v>
      </c>
      <c r="L150" s="3">
        <v>890</v>
      </c>
    </row>
    <row r="151" spans="1:12" x14ac:dyDescent="0.25">
      <c r="A151" s="44">
        <f t="shared" si="3"/>
        <v>1</v>
      </c>
      <c r="B151" s="50" t="str">
        <f>VLOOKUP(K151,Lookup!$A$1:$D$34,4,FALSE)</f>
        <v>y_repay_term</v>
      </c>
      <c r="C151" s="9">
        <v>43101</v>
      </c>
      <c r="D151" s="3">
        <v>2018</v>
      </c>
      <c r="E151" s="3">
        <v>1</v>
      </c>
      <c r="F151" s="3" t="s">
        <v>26</v>
      </c>
      <c r="G151" s="3">
        <v>1</v>
      </c>
      <c r="H151">
        <v>1</v>
      </c>
      <c r="I151" s="3">
        <v>1</v>
      </c>
      <c r="J151" s="3" t="s">
        <v>15</v>
      </c>
      <c r="K151" s="3" t="s">
        <v>21</v>
      </c>
      <c r="L151" s="3">
        <v>-10</v>
      </c>
    </row>
    <row r="152" spans="1:12" x14ac:dyDescent="0.25">
      <c r="A152" s="44">
        <f t="shared" si="3"/>
        <v>1</v>
      </c>
      <c r="B152" s="50" t="str">
        <f>VLOOKUP(K152,Lookup!$A$1:$D$34,4,FALSE)</f>
        <v>a_open</v>
      </c>
      <c r="C152" s="9">
        <v>43101</v>
      </c>
      <c r="D152" s="3">
        <v>2018</v>
      </c>
      <c r="E152" s="3">
        <v>1</v>
      </c>
      <c r="F152" s="3" t="s">
        <v>26</v>
      </c>
      <c r="G152" s="3">
        <v>1</v>
      </c>
      <c r="H152">
        <v>1</v>
      </c>
      <c r="I152" s="3">
        <v>1</v>
      </c>
      <c r="J152" s="3" t="s">
        <v>15</v>
      </c>
      <c r="K152" s="3" t="s">
        <v>14</v>
      </c>
      <c r="L152" s="3">
        <v>900</v>
      </c>
    </row>
    <row r="153" spans="1:12" x14ac:dyDescent="0.25">
      <c r="A153" s="44">
        <f t="shared" si="3"/>
        <v>1</v>
      </c>
      <c r="B153" s="50" t="str">
        <f>VLOOKUP(K153,Lookup!$A$1:$D$34,4,FALSE)</f>
        <v>zf_close</v>
      </c>
      <c r="C153" s="9">
        <v>43132</v>
      </c>
      <c r="D153" s="3">
        <v>2018</v>
      </c>
      <c r="E153" s="3">
        <v>2</v>
      </c>
      <c r="F153" s="3" t="s">
        <v>26</v>
      </c>
      <c r="G153" s="3">
        <v>1</v>
      </c>
      <c r="H153">
        <v>1</v>
      </c>
      <c r="I153" s="3">
        <v>1</v>
      </c>
      <c r="J153" s="3" t="s">
        <v>8</v>
      </c>
      <c r="K153" s="3" t="s">
        <v>9</v>
      </c>
      <c r="L153" s="3">
        <v>-8.5</v>
      </c>
    </row>
    <row r="154" spans="1:12" x14ac:dyDescent="0.25">
      <c r="A154" s="44">
        <f t="shared" si="3"/>
        <v>1</v>
      </c>
      <c r="B154" s="50" t="str">
        <f>VLOOKUP(K154,Lookup!$A$1:$D$34,4,FALSE)</f>
        <v>y_repay_term</v>
      </c>
      <c r="C154" s="9">
        <v>43132</v>
      </c>
      <c r="D154" s="3">
        <v>2018</v>
      </c>
      <c r="E154" s="3">
        <v>2</v>
      </c>
      <c r="F154" s="3" t="s">
        <v>26</v>
      </c>
      <c r="G154" s="3">
        <v>1</v>
      </c>
      <c r="H154">
        <v>1</v>
      </c>
      <c r="I154" s="3">
        <v>1</v>
      </c>
      <c r="J154" s="3" t="s">
        <v>8</v>
      </c>
      <c r="K154" s="3" t="s">
        <v>21</v>
      </c>
      <c r="L154" s="3">
        <v>0.1</v>
      </c>
    </row>
    <row r="155" spans="1:12" x14ac:dyDescent="0.25">
      <c r="A155" s="44">
        <f t="shared" si="3"/>
        <v>1</v>
      </c>
      <c r="B155" s="50" t="str">
        <f>VLOOKUP(K155,Lookup!$A$1:$D$34,4,FALSE)</f>
        <v>za_re-measure_no_migr</v>
      </c>
      <c r="C155" s="9">
        <v>43132</v>
      </c>
      <c r="D155" s="3">
        <v>2018</v>
      </c>
      <c r="E155" s="3">
        <v>2</v>
      </c>
      <c r="F155" s="3" t="s">
        <v>26</v>
      </c>
      <c r="G155" s="3">
        <v>1</v>
      </c>
      <c r="H155">
        <v>1</v>
      </c>
      <c r="I155" s="3">
        <v>1</v>
      </c>
      <c r="J155" s="3" t="s">
        <v>8</v>
      </c>
      <c r="K155" s="3" t="s">
        <v>11</v>
      </c>
      <c r="L155" s="3">
        <v>0.4</v>
      </c>
    </row>
    <row r="156" spans="1:12" x14ac:dyDescent="0.25">
      <c r="A156" s="44">
        <f t="shared" si="3"/>
        <v>1</v>
      </c>
      <c r="B156" s="50" t="str">
        <f>VLOOKUP(K156,Lookup!$A$1:$D$34,4,FALSE)</f>
        <v>a_open</v>
      </c>
      <c r="C156" s="9">
        <v>43132</v>
      </c>
      <c r="D156" s="3">
        <v>2018</v>
      </c>
      <c r="E156" s="3">
        <v>2</v>
      </c>
      <c r="F156" s="3" t="s">
        <v>26</v>
      </c>
      <c r="G156" s="3">
        <v>1</v>
      </c>
      <c r="H156">
        <v>1</v>
      </c>
      <c r="I156" s="3">
        <v>1</v>
      </c>
      <c r="J156" s="3" t="s">
        <v>8</v>
      </c>
      <c r="K156" s="3" t="s">
        <v>14</v>
      </c>
      <c r="L156" s="3">
        <v>-9</v>
      </c>
    </row>
    <row r="157" spans="1:12" x14ac:dyDescent="0.25">
      <c r="A157" s="44">
        <f t="shared" si="3"/>
        <v>1</v>
      </c>
      <c r="B157" s="50" t="str">
        <f>VLOOKUP(K157,Lookup!$A$1:$D$34,4,FALSE)</f>
        <v>zf_close</v>
      </c>
      <c r="C157" s="9">
        <v>43132</v>
      </c>
      <c r="D157" s="3">
        <v>2018</v>
      </c>
      <c r="E157" s="3">
        <v>2</v>
      </c>
      <c r="F157" s="3" t="s">
        <v>26</v>
      </c>
      <c r="G157" s="3">
        <v>1</v>
      </c>
      <c r="H157">
        <v>1</v>
      </c>
      <c r="I157" s="3">
        <v>1</v>
      </c>
      <c r="J157" s="3" t="s">
        <v>15</v>
      </c>
      <c r="K157" s="3" t="s">
        <v>9</v>
      </c>
      <c r="L157" s="3">
        <v>880</v>
      </c>
    </row>
    <row r="158" spans="1:12" x14ac:dyDescent="0.25">
      <c r="A158" s="44">
        <f t="shared" si="3"/>
        <v>1</v>
      </c>
      <c r="B158" s="50" t="str">
        <f>VLOOKUP(K158,Lookup!$A$1:$D$34,4,FALSE)</f>
        <v>y_repay_term</v>
      </c>
      <c r="C158" s="9">
        <v>43132</v>
      </c>
      <c r="D158" s="3">
        <v>2018</v>
      </c>
      <c r="E158" s="3">
        <v>2</v>
      </c>
      <c r="F158" s="3" t="s">
        <v>26</v>
      </c>
      <c r="G158" s="3">
        <v>1</v>
      </c>
      <c r="H158">
        <v>1</v>
      </c>
      <c r="I158" s="3">
        <v>1</v>
      </c>
      <c r="J158" s="3" t="s">
        <v>15</v>
      </c>
      <c r="K158" s="3" t="s">
        <v>21</v>
      </c>
      <c r="L158" s="3">
        <v>-10</v>
      </c>
    </row>
    <row r="159" spans="1:12" x14ac:dyDescent="0.25">
      <c r="A159" s="44">
        <f t="shared" si="3"/>
        <v>1</v>
      </c>
      <c r="B159" s="50" t="str">
        <f>VLOOKUP(K159,Lookup!$A$1:$D$34,4,FALSE)</f>
        <v>a_open</v>
      </c>
      <c r="C159" s="9">
        <v>43132</v>
      </c>
      <c r="D159" s="3">
        <v>2018</v>
      </c>
      <c r="E159" s="3">
        <v>2</v>
      </c>
      <c r="F159" s="3" t="s">
        <v>26</v>
      </c>
      <c r="G159" s="3">
        <v>1</v>
      </c>
      <c r="H159">
        <v>1</v>
      </c>
      <c r="I159" s="3">
        <v>1</v>
      </c>
      <c r="J159" s="3" t="s">
        <v>15</v>
      </c>
      <c r="K159" s="3" t="s">
        <v>14</v>
      </c>
      <c r="L159" s="3">
        <v>890</v>
      </c>
    </row>
    <row r="160" spans="1:12" x14ac:dyDescent="0.25">
      <c r="A160" s="44">
        <f t="shared" si="3"/>
        <v>1</v>
      </c>
      <c r="B160" s="50" t="str">
        <f>VLOOKUP(K160,Lookup!$A$1:$D$34,4,FALSE)</f>
        <v>zf_close</v>
      </c>
      <c r="C160" s="9">
        <v>43160</v>
      </c>
      <c r="D160" s="3">
        <v>2018</v>
      </c>
      <c r="E160" s="3">
        <v>3</v>
      </c>
      <c r="F160" s="3" t="s">
        <v>26</v>
      </c>
      <c r="G160" s="3">
        <v>1</v>
      </c>
      <c r="H160">
        <v>1</v>
      </c>
      <c r="I160" s="3">
        <v>1</v>
      </c>
      <c r="J160" s="3" t="s">
        <v>8</v>
      </c>
      <c r="K160" s="3" t="s">
        <v>9</v>
      </c>
      <c r="L160" s="3">
        <v>-8</v>
      </c>
    </row>
    <row r="161" spans="1:13" x14ac:dyDescent="0.25">
      <c r="A161" s="44">
        <f t="shared" si="3"/>
        <v>1</v>
      </c>
      <c r="B161" s="50" t="str">
        <f>VLOOKUP(K161,Lookup!$A$1:$D$34,4,FALSE)</f>
        <v>zc_model_change</v>
      </c>
      <c r="C161" s="9">
        <v>43160</v>
      </c>
      <c r="D161" s="3">
        <v>2018</v>
      </c>
      <c r="E161" s="3">
        <v>3</v>
      </c>
      <c r="F161" s="3" t="s">
        <v>26</v>
      </c>
      <c r="G161" s="3">
        <v>1</v>
      </c>
      <c r="H161">
        <v>1</v>
      </c>
      <c r="I161" s="3">
        <v>1</v>
      </c>
      <c r="J161" s="3" t="s">
        <v>8</v>
      </c>
      <c r="K161" s="3" t="s">
        <v>25</v>
      </c>
      <c r="L161" s="3">
        <v>-4</v>
      </c>
    </row>
    <row r="162" spans="1:13" x14ac:dyDescent="0.25">
      <c r="A162" s="44">
        <f t="shared" si="3"/>
        <v>1</v>
      </c>
      <c r="B162" s="50" t="str">
        <f>VLOOKUP(K162,Lookup!$A$1:$D$34,4,FALSE)</f>
        <v>za_re-measure_no_migr</v>
      </c>
      <c r="C162" s="9">
        <v>43160</v>
      </c>
      <c r="D162" s="3">
        <v>2018</v>
      </c>
      <c r="E162" s="3">
        <v>3</v>
      </c>
      <c r="F162" s="3" t="s">
        <v>26</v>
      </c>
      <c r="G162" s="3">
        <v>1</v>
      </c>
      <c r="H162">
        <v>1</v>
      </c>
      <c r="I162" s="3">
        <v>1</v>
      </c>
      <c r="J162" s="3" t="s">
        <v>8</v>
      </c>
      <c r="K162" s="3" t="s">
        <v>11</v>
      </c>
      <c r="L162" s="3">
        <v>4.5</v>
      </c>
    </row>
    <row r="163" spans="1:13" x14ac:dyDescent="0.25">
      <c r="A163" s="44">
        <f t="shared" si="3"/>
        <v>1</v>
      </c>
      <c r="B163" s="50" t="str">
        <f>VLOOKUP(K163,Lookup!$A$1:$D$34,4,FALSE)</f>
        <v>a_open</v>
      </c>
      <c r="C163" s="9">
        <v>43160</v>
      </c>
      <c r="D163" s="3">
        <v>2018</v>
      </c>
      <c r="E163" s="3">
        <v>3</v>
      </c>
      <c r="F163" s="3" t="s">
        <v>26</v>
      </c>
      <c r="G163" s="3">
        <v>1</v>
      </c>
      <c r="H163">
        <v>1</v>
      </c>
      <c r="I163" s="3">
        <v>1</v>
      </c>
      <c r="J163" s="3" t="s">
        <v>8</v>
      </c>
      <c r="K163" s="3" t="s">
        <v>14</v>
      </c>
      <c r="L163" s="3">
        <v>-8.5</v>
      </c>
    </row>
    <row r="164" spans="1:13" x14ac:dyDescent="0.25">
      <c r="A164" s="44">
        <f t="shared" si="3"/>
        <v>1</v>
      </c>
      <c r="B164" s="50" t="str">
        <f>VLOOKUP(K164,Lookup!$A$1:$D$34,4,FALSE)</f>
        <v>zf_close</v>
      </c>
      <c r="C164" s="9">
        <v>43160</v>
      </c>
      <c r="D164" s="3">
        <v>2018</v>
      </c>
      <c r="E164" s="3">
        <v>3</v>
      </c>
      <c r="F164" s="3" t="s">
        <v>26</v>
      </c>
      <c r="G164" s="3">
        <v>1</v>
      </c>
      <c r="H164">
        <v>1</v>
      </c>
      <c r="I164" s="3">
        <v>1</v>
      </c>
      <c r="J164" s="3" t="s">
        <v>15</v>
      </c>
      <c r="K164" s="3" t="s">
        <v>9</v>
      </c>
      <c r="L164" s="3">
        <v>880</v>
      </c>
    </row>
    <row r="165" spans="1:13" x14ac:dyDescent="0.25">
      <c r="A165" s="44">
        <f t="shared" si="3"/>
        <v>1</v>
      </c>
      <c r="B165" s="50" t="str">
        <f>VLOOKUP(K165,Lookup!$A$1:$D$34,4,FALSE)</f>
        <v>a_open</v>
      </c>
      <c r="C165" s="9">
        <v>43160</v>
      </c>
      <c r="D165" s="3">
        <v>2018</v>
      </c>
      <c r="E165" s="3">
        <v>3</v>
      </c>
      <c r="F165" s="3" t="s">
        <v>26</v>
      </c>
      <c r="G165" s="51">
        <v>1</v>
      </c>
      <c r="H165" s="52">
        <v>1</v>
      </c>
      <c r="I165" s="51">
        <v>1</v>
      </c>
      <c r="J165" s="51" t="s">
        <v>15</v>
      </c>
      <c r="K165" s="51" t="s">
        <v>14</v>
      </c>
      <c r="L165" s="51">
        <v>880</v>
      </c>
      <c r="M165" s="52"/>
    </row>
    <row r="166" spans="1:13" x14ac:dyDescent="0.25">
      <c r="A166" s="44">
        <f t="shared" si="3"/>
        <v>1</v>
      </c>
      <c r="B166" s="50" t="str">
        <f>VLOOKUP(K166,Lookup!$A$1:$D$34,4,FALSE)</f>
        <v>z_repay_term_final</v>
      </c>
      <c r="C166" s="9">
        <v>43191</v>
      </c>
      <c r="D166" s="3">
        <v>2018</v>
      </c>
      <c r="E166" s="3">
        <v>4</v>
      </c>
      <c r="F166" s="3" t="s">
        <v>26</v>
      </c>
      <c r="G166" s="51">
        <v>1</v>
      </c>
      <c r="H166" s="52">
        <v>1</v>
      </c>
      <c r="I166" s="51">
        <v>1</v>
      </c>
      <c r="J166" s="51" t="s">
        <v>8</v>
      </c>
      <c r="K166" s="51" t="s">
        <v>17</v>
      </c>
      <c r="L166" s="51">
        <v>9.3000000000000007</v>
      </c>
      <c r="M166" s="52"/>
    </row>
    <row r="167" spans="1:13" x14ac:dyDescent="0.25">
      <c r="A167" s="44">
        <f t="shared" si="3"/>
        <v>1</v>
      </c>
      <c r="B167" s="50" t="str">
        <f>VLOOKUP(K167,Lookup!$A$1:$D$34,4,FALSE)</f>
        <v>za_re-measure_no_migr</v>
      </c>
      <c r="C167" s="9">
        <v>43191</v>
      </c>
      <c r="D167" s="3">
        <v>2018</v>
      </c>
      <c r="E167" s="3">
        <v>4</v>
      </c>
      <c r="F167" s="3" t="s">
        <v>26</v>
      </c>
      <c r="G167" s="51">
        <v>1</v>
      </c>
      <c r="H167" s="52">
        <v>1</v>
      </c>
      <c r="I167" s="51">
        <v>1</v>
      </c>
      <c r="J167" s="51" t="s">
        <v>8</v>
      </c>
      <c r="K167" s="51" t="s">
        <v>11</v>
      </c>
      <c r="L167" s="51">
        <v>-1.3</v>
      </c>
      <c r="M167" s="52"/>
    </row>
    <row r="168" spans="1:13" x14ac:dyDescent="0.25">
      <c r="A168" s="44">
        <f t="shared" si="3"/>
        <v>1</v>
      </c>
      <c r="B168" s="50" t="str">
        <f>VLOOKUP(K168,Lookup!$A$1:$D$34,4,FALSE)</f>
        <v>a_open</v>
      </c>
      <c r="C168" s="9">
        <v>43191</v>
      </c>
      <c r="D168" s="3">
        <v>2018</v>
      </c>
      <c r="E168" s="3">
        <v>4</v>
      </c>
      <c r="F168" s="3" t="s">
        <v>26</v>
      </c>
      <c r="G168" s="51">
        <v>1</v>
      </c>
      <c r="H168" s="52">
        <v>1</v>
      </c>
      <c r="I168" s="51">
        <v>1</v>
      </c>
      <c r="J168" s="51" t="s">
        <v>8</v>
      </c>
      <c r="K168" s="51" t="s">
        <v>14</v>
      </c>
      <c r="L168" s="51">
        <v>-8</v>
      </c>
      <c r="M168" s="52"/>
    </row>
    <row r="169" spans="1:13" x14ac:dyDescent="0.25">
      <c r="A169" s="44">
        <f t="shared" si="3"/>
        <v>1</v>
      </c>
      <c r="B169" s="50" t="str">
        <f>VLOOKUP(K169,Lookup!$A$1:$D$34,4,FALSE)</f>
        <v>zd_other</v>
      </c>
      <c r="C169" s="9">
        <v>43191</v>
      </c>
      <c r="D169" s="3">
        <v>2018</v>
      </c>
      <c r="E169" s="3">
        <v>4</v>
      </c>
      <c r="F169" s="3" t="s">
        <v>26</v>
      </c>
      <c r="G169" s="51">
        <v>1</v>
      </c>
      <c r="H169" s="52">
        <v>1</v>
      </c>
      <c r="I169" s="51">
        <v>1</v>
      </c>
      <c r="J169" s="51" t="s">
        <v>15</v>
      </c>
      <c r="K169" s="51" t="s">
        <v>18</v>
      </c>
      <c r="L169" s="51">
        <v>50</v>
      </c>
      <c r="M169" s="52"/>
    </row>
    <row r="170" spans="1:13" x14ac:dyDescent="0.25">
      <c r="A170" s="44">
        <f t="shared" si="3"/>
        <v>1</v>
      </c>
      <c r="B170" s="50" t="str">
        <f>VLOOKUP(K170,Lookup!$A$1:$D$34,4,FALSE)</f>
        <v>z_repay_term_final</v>
      </c>
      <c r="C170" s="9">
        <v>43191</v>
      </c>
      <c r="D170" s="3">
        <v>2018</v>
      </c>
      <c r="E170" s="3">
        <v>4</v>
      </c>
      <c r="F170" s="3" t="s">
        <v>26</v>
      </c>
      <c r="G170" s="51">
        <v>1</v>
      </c>
      <c r="H170" s="52">
        <v>1</v>
      </c>
      <c r="I170" s="51">
        <v>1</v>
      </c>
      <c r="J170" s="51" t="s">
        <v>15</v>
      </c>
      <c r="K170" s="51" t="s">
        <v>17</v>
      </c>
      <c r="L170" s="51">
        <v>-930</v>
      </c>
      <c r="M170" s="52"/>
    </row>
    <row r="171" spans="1:13" x14ac:dyDescent="0.25">
      <c r="A171" s="44">
        <f t="shared" si="3"/>
        <v>1</v>
      </c>
      <c r="B171" s="50" t="str">
        <f>VLOOKUP(K171,Lookup!$A$1:$D$34,4,FALSE)</f>
        <v>a_open</v>
      </c>
      <c r="C171" s="9">
        <v>43191</v>
      </c>
      <c r="D171" s="3">
        <v>2018</v>
      </c>
      <c r="E171" s="3">
        <v>4</v>
      </c>
      <c r="F171" s="3" t="s">
        <v>26</v>
      </c>
      <c r="G171" s="51">
        <v>1</v>
      </c>
      <c r="H171" s="52">
        <v>1</v>
      </c>
      <c r="I171" s="51">
        <v>1</v>
      </c>
      <c r="J171" s="51" t="s">
        <v>15</v>
      </c>
      <c r="K171" s="51" t="s">
        <v>14</v>
      </c>
      <c r="L171" s="51">
        <v>880</v>
      </c>
      <c r="M171" s="52"/>
    </row>
    <row r="172" spans="1:13" x14ac:dyDescent="0.25">
      <c r="A172" s="44">
        <f t="shared" si="3"/>
        <v>0</v>
      </c>
      <c r="B172" s="50" t="str">
        <f>VLOOKUP(K172,Lookup!$A$1:$D$34,4,FALSE)</f>
        <v>zf_close</v>
      </c>
      <c r="C172" s="9">
        <v>43070</v>
      </c>
      <c r="D172" s="3">
        <v>2017</v>
      </c>
      <c r="E172" s="3">
        <v>12</v>
      </c>
      <c r="F172" s="3" t="s">
        <v>27</v>
      </c>
      <c r="G172" s="51" t="s">
        <v>58</v>
      </c>
      <c r="H172" s="52">
        <v>5</v>
      </c>
      <c r="I172" s="51">
        <v>5</v>
      </c>
      <c r="J172" s="51" t="s">
        <v>8</v>
      </c>
      <c r="K172" s="51" t="s">
        <v>9</v>
      </c>
      <c r="L172" s="51">
        <v>-225</v>
      </c>
      <c r="M172" s="52"/>
    </row>
    <row r="173" spans="1:13" x14ac:dyDescent="0.25">
      <c r="A173" s="44">
        <f t="shared" si="3"/>
        <v>0</v>
      </c>
      <c r="B173" s="50" t="str">
        <f>VLOOKUP(K173,Lookup!$A$1:$D$34,4,FALSE)</f>
        <v>zf_close</v>
      </c>
      <c r="C173" s="9">
        <v>43070</v>
      </c>
      <c r="D173" s="3">
        <v>2017</v>
      </c>
      <c r="E173" s="3">
        <v>12</v>
      </c>
      <c r="F173" s="3" t="s">
        <v>27</v>
      </c>
      <c r="G173" s="51" t="s">
        <v>58</v>
      </c>
      <c r="H173" s="52">
        <v>5</v>
      </c>
      <c r="I173" s="51">
        <v>5</v>
      </c>
      <c r="J173" s="51" t="s">
        <v>15</v>
      </c>
      <c r="K173" s="51" t="s">
        <v>9</v>
      </c>
      <c r="L173" s="51">
        <v>980</v>
      </c>
      <c r="M173" s="52"/>
    </row>
    <row r="174" spans="1:13" x14ac:dyDescent="0.25">
      <c r="A174" s="44">
        <f t="shared" si="3"/>
        <v>1</v>
      </c>
      <c r="B174" s="50" t="str">
        <f>VLOOKUP(K174,Lookup!$A$1:$D$34,4,FALSE)</f>
        <v>zf_close</v>
      </c>
      <c r="C174" s="9">
        <v>43101</v>
      </c>
      <c r="D174" s="3">
        <v>2018</v>
      </c>
      <c r="E174" s="3">
        <v>1</v>
      </c>
      <c r="F174" s="3" t="s">
        <v>27</v>
      </c>
      <c r="G174" s="51">
        <v>5</v>
      </c>
      <c r="H174" s="52">
        <v>5</v>
      </c>
      <c r="I174" s="51">
        <v>5</v>
      </c>
      <c r="J174" s="51" t="s">
        <v>8</v>
      </c>
      <c r="K174" s="51" t="s">
        <v>9</v>
      </c>
      <c r="L174" s="51">
        <v>-225</v>
      </c>
      <c r="M174" s="52"/>
    </row>
    <row r="175" spans="1:13" x14ac:dyDescent="0.25">
      <c r="A175" s="44">
        <f t="shared" si="3"/>
        <v>1</v>
      </c>
      <c r="B175" s="50" t="str">
        <f>VLOOKUP(K175,Lookup!$A$1:$D$34,4,FALSE)</f>
        <v>a_open</v>
      </c>
      <c r="C175" s="9">
        <v>43101</v>
      </c>
      <c r="D175" s="3">
        <v>2018</v>
      </c>
      <c r="E175" s="3">
        <v>1</v>
      </c>
      <c r="F175" s="3" t="s">
        <v>27</v>
      </c>
      <c r="G175" s="51">
        <v>5</v>
      </c>
      <c r="H175" s="52">
        <v>5</v>
      </c>
      <c r="I175" s="51">
        <v>5</v>
      </c>
      <c r="J175" s="51" t="s">
        <v>8</v>
      </c>
      <c r="K175" s="51" t="s">
        <v>14</v>
      </c>
      <c r="L175" s="51">
        <v>-225</v>
      </c>
      <c r="M175" s="52"/>
    </row>
    <row r="176" spans="1:13" x14ac:dyDescent="0.25">
      <c r="A176" s="44">
        <f t="shared" si="3"/>
        <v>1</v>
      </c>
      <c r="B176" s="50" t="str">
        <f>VLOOKUP(K176,Lookup!$A$1:$D$34,4,FALSE)</f>
        <v>zf_close</v>
      </c>
      <c r="C176" s="9">
        <v>43101</v>
      </c>
      <c r="D176" s="3">
        <v>2018</v>
      </c>
      <c r="E176" s="3">
        <v>1</v>
      </c>
      <c r="F176" s="3" t="s">
        <v>27</v>
      </c>
      <c r="G176" s="51">
        <v>5</v>
      </c>
      <c r="H176" s="52">
        <v>5</v>
      </c>
      <c r="I176" s="51">
        <v>5</v>
      </c>
      <c r="J176" s="51" t="s">
        <v>15</v>
      </c>
      <c r="K176" s="51" t="s">
        <v>9</v>
      </c>
      <c r="L176" s="51">
        <v>985</v>
      </c>
      <c r="M176" s="52"/>
    </row>
    <row r="177" spans="1:13" x14ac:dyDescent="0.25">
      <c r="A177" s="44">
        <f t="shared" si="3"/>
        <v>1</v>
      </c>
      <c r="B177" s="50" t="str">
        <f>VLOOKUP(K177,Lookup!$A$1:$D$34,4,FALSE)</f>
        <v>zd_other</v>
      </c>
      <c r="C177" s="9">
        <v>43101</v>
      </c>
      <c r="D177" s="3">
        <v>2018</v>
      </c>
      <c r="E177" s="3">
        <v>1</v>
      </c>
      <c r="F177" s="3" t="s">
        <v>27</v>
      </c>
      <c r="G177" s="51">
        <v>5</v>
      </c>
      <c r="H177" s="52">
        <v>5</v>
      </c>
      <c r="I177" s="51">
        <v>5</v>
      </c>
      <c r="J177" s="51" t="s">
        <v>15</v>
      </c>
      <c r="K177" s="51" t="s">
        <v>18</v>
      </c>
      <c r="L177" s="51">
        <v>5</v>
      </c>
      <c r="M177" s="52"/>
    </row>
    <row r="178" spans="1:13" x14ac:dyDescent="0.25">
      <c r="A178" s="44">
        <f t="shared" si="3"/>
        <v>1</v>
      </c>
      <c r="B178" s="50" t="str">
        <f>VLOOKUP(K178,Lookup!$A$1:$D$34,4,FALSE)</f>
        <v>a_open</v>
      </c>
      <c r="C178" s="9">
        <v>43101</v>
      </c>
      <c r="D178" s="3">
        <v>2018</v>
      </c>
      <c r="E178" s="3">
        <v>1</v>
      </c>
      <c r="F178" s="3" t="s">
        <v>27</v>
      </c>
      <c r="G178" s="51">
        <v>5</v>
      </c>
      <c r="H178" s="52">
        <v>5</v>
      </c>
      <c r="I178" s="51">
        <v>5</v>
      </c>
      <c r="J178" s="51" t="s">
        <v>15</v>
      </c>
      <c r="K178" s="51" t="s">
        <v>14</v>
      </c>
      <c r="L178" s="51">
        <v>980</v>
      </c>
      <c r="M178" s="52"/>
    </row>
    <row r="179" spans="1:13" x14ac:dyDescent="0.25">
      <c r="A179" s="44">
        <f t="shared" si="3"/>
        <v>1</v>
      </c>
      <c r="B179" s="50" t="str">
        <f>VLOOKUP(K179,Lookup!$A$1:$D$34,4,FALSE)</f>
        <v>zf_close</v>
      </c>
      <c r="C179" s="9">
        <v>43132</v>
      </c>
      <c r="D179" s="3">
        <v>2018</v>
      </c>
      <c r="E179" s="3">
        <v>2</v>
      </c>
      <c r="F179" s="3" t="s">
        <v>27</v>
      </c>
      <c r="G179" s="51">
        <v>5</v>
      </c>
      <c r="H179" s="52">
        <v>2</v>
      </c>
      <c r="I179" s="51">
        <v>2</v>
      </c>
      <c r="J179" s="51" t="s">
        <v>8</v>
      </c>
      <c r="K179" s="51" t="s">
        <v>9</v>
      </c>
      <c r="L179" s="51">
        <v>-55</v>
      </c>
      <c r="M179" s="52"/>
    </row>
    <row r="180" spans="1:13" x14ac:dyDescent="0.25">
      <c r="A180" s="44">
        <f t="shared" si="3"/>
        <v>1</v>
      </c>
      <c r="B180" s="50" t="str">
        <f>VLOOKUP(K180,Lookup!$A$1:$D$34,4,FALSE)</f>
        <v>v_repay_rvlv</v>
      </c>
      <c r="C180" s="9">
        <v>43132</v>
      </c>
      <c r="D180" s="3">
        <v>2018</v>
      </c>
      <c r="E180" s="3">
        <v>2</v>
      </c>
      <c r="F180" s="3" t="s">
        <v>27</v>
      </c>
      <c r="G180" s="51">
        <v>5</v>
      </c>
      <c r="H180" s="52">
        <v>2</v>
      </c>
      <c r="I180" s="51">
        <v>5</v>
      </c>
      <c r="J180" s="51" t="s">
        <v>8</v>
      </c>
      <c r="K180" s="51" t="s">
        <v>10</v>
      </c>
      <c r="L180" s="51">
        <v>110</v>
      </c>
      <c r="M180" s="52"/>
    </row>
    <row r="181" spans="1:13" x14ac:dyDescent="0.25">
      <c r="A181" s="44">
        <f t="shared" si="3"/>
        <v>1</v>
      </c>
      <c r="B181" s="50" t="str">
        <f>VLOOKUP(K181,Lookup!$A$1:$D$34,4,FALSE)</f>
        <v>zb_re-measure_migr</v>
      </c>
      <c r="C181" s="9">
        <v>43132</v>
      </c>
      <c r="D181" s="3">
        <v>2018</v>
      </c>
      <c r="E181" s="3">
        <v>2</v>
      </c>
      <c r="F181" s="3" t="s">
        <v>27</v>
      </c>
      <c r="G181" s="51">
        <v>5</v>
      </c>
      <c r="H181" s="52">
        <v>2</v>
      </c>
      <c r="I181" s="51">
        <v>2</v>
      </c>
      <c r="J181" s="51" t="s">
        <v>8</v>
      </c>
      <c r="K181" s="51" t="s">
        <v>12</v>
      </c>
      <c r="L181" s="51">
        <v>60</v>
      </c>
      <c r="M181" s="52"/>
    </row>
    <row r="182" spans="1:13" x14ac:dyDescent="0.25">
      <c r="A182" s="44">
        <f t="shared" si="3"/>
        <v>1</v>
      </c>
      <c r="B182" s="50" t="str">
        <f>VLOOKUP(K182,Lookup!$A$1:$D$34,4,FALSE)</f>
        <v>o_tfr.5.2</v>
      </c>
      <c r="C182" s="9">
        <v>43132</v>
      </c>
      <c r="D182" s="3">
        <v>2018</v>
      </c>
      <c r="E182" s="3">
        <v>2</v>
      </c>
      <c r="F182" s="3" t="s">
        <v>27</v>
      </c>
      <c r="G182" s="3">
        <v>5</v>
      </c>
      <c r="H182">
        <v>2</v>
      </c>
      <c r="I182" s="3">
        <v>2</v>
      </c>
      <c r="J182" s="3" t="s">
        <v>8</v>
      </c>
      <c r="K182" s="3" t="s">
        <v>161</v>
      </c>
      <c r="L182" s="3">
        <v>-115</v>
      </c>
    </row>
    <row r="183" spans="1:13" x14ac:dyDescent="0.25">
      <c r="A183" s="44">
        <f t="shared" si="3"/>
        <v>1</v>
      </c>
      <c r="B183" s="50" t="str">
        <f>VLOOKUP(K183,Lookup!$A$1:$D$34,4,FALSE)</f>
        <v>o_tfr.5.2</v>
      </c>
      <c r="C183" s="9">
        <v>43132</v>
      </c>
      <c r="D183" s="3">
        <v>2018</v>
      </c>
      <c r="E183" s="3">
        <v>2</v>
      </c>
      <c r="F183" s="3" t="s">
        <v>27</v>
      </c>
      <c r="G183" s="3">
        <v>5</v>
      </c>
      <c r="H183">
        <v>2</v>
      </c>
      <c r="I183" s="3">
        <v>5</v>
      </c>
      <c r="J183" s="3" t="s">
        <v>8</v>
      </c>
      <c r="K183" s="3" t="s">
        <v>161</v>
      </c>
      <c r="L183" s="3">
        <v>115</v>
      </c>
    </row>
    <row r="184" spans="1:13" x14ac:dyDescent="0.25">
      <c r="A184" s="44">
        <f t="shared" si="3"/>
        <v>1</v>
      </c>
      <c r="B184" s="50" t="str">
        <f>VLOOKUP(K184,Lookup!$A$1:$D$34,4,FALSE)</f>
        <v>a_open</v>
      </c>
      <c r="C184" s="9">
        <v>43132</v>
      </c>
      <c r="D184" s="3">
        <v>2018</v>
      </c>
      <c r="E184" s="3">
        <v>2</v>
      </c>
      <c r="F184" s="3" t="s">
        <v>27</v>
      </c>
      <c r="G184" s="3">
        <v>5</v>
      </c>
      <c r="H184">
        <v>2</v>
      </c>
      <c r="I184" s="3">
        <v>5</v>
      </c>
      <c r="J184" s="3" t="s">
        <v>8</v>
      </c>
      <c r="K184" s="3" t="s">
        <v>14</v>
      </c>
      <c r="L184" s="3">
        <v>-225</v>
      </c>
    </row>
    <row r="185" spans="1:13" x14ac:dyDescent="0.25">
      <c r="A185" s="44">
        <f t="shared" si="3"/>
        <v>1</v>
      </c>
      <c r="B185" s="50" t="str">
        <f>VLOOKUP(K185,Lookup!$A$1:$D$34,4,FALSE)</f>
        <v>zf_close</v>
      </c>
      <c r="C185" s="9">
        <v>43132</v>
      </c>
      <c r="D185" s="3">
        <v>2018</v>
      </c>
      <c r="E185" s="3">
        <v>2</v>
      </c>
      <c r="F185" s="3" t="s">
        <v>27</v>
      </c>
      <c r="G185" s="3">
        <v>5</v>
      </c>
      <c r="H185">
        <v>2</v>
      </c>
      <c r="I185" s="3">
        <v>2</v>
      </c>
      <c r="J185" s="3" t="s">
        <v>15</v>
      </c>
      <c r="K185" s="3" t="s">
        <v>9</v>
      </c>
      <c r="L185" s="3">
        <v>490</v>
      </c>
    </row>
    <row r="186" spans="1:13" x14ac:dyDescent="0.25">
      <c r="A186" s="44">
        <f t="shared" si="3"/>
        <v>1</v>
      </c>
      <c r="B186" s="50" t="str">
        <f>VLOOKUP(K186,Lookup!$A$1:$D$34,4,FALSE)</f>
        <v>zd_other</v>
      </c>
      <c r="C186" s="9">
        <v>43132</v>
      </c>
      <c r="D186" s="3">
        <v>2018</v>
      </c>
      <c r="E186" s="3">
        <v>2</v>
      </c>
      <c r="F186" s="3" t="s">
        <v>27</v>
      </c>
      <c r="G186" s="3">
        <v>5</v>
      </c>
      <c r="H186">
        <v>2</v>
      </c>
      <c r="I186" s="3">
        <v>2</v>
      </c>
      <c r="J186" s="3" t="s">
        <v>15</v>
      </c>
      <c r="K186" s="3" t="s">
        <v>18</v>
      </c>
      <c r="L186" s="3">
        <v>5</v>
      </c>
    </row>
    <row r="187" spans="1:13" x14ac:dyDescent="0.25">
      <c r="A187" s="44">
        <f t="shared" si="3"/>
        <v>1</v>
      </c>
      <c r="B187" s="50" t="str">
        <f>VLOOKUP(K187,Lookup!$A$1:$D$34,4,FALSE)</f>
        <v>v_repay_rvlv</v>
      </c>
      <c r="C187" s="9">
        <v>43132</v>
      </c>
      <c r="D187" s="3">
        <v>2018</v>
      </c>
      <c r="E187" s="3">
        <v>2</v>
      </c>
      <c r="F187" s="3" t="s">
        <v>27</v>
      </c>
      <c r="G187" s="3">
        <v>5</v>
      </c>
      <c r="H187">
        <v>2</v>
      </c>
      <c r="I187" s="3">
        <v>5</v>
      </c>
      <c r="J187" s="3" t="s">
        <v>15</v>
      </c>
      <c r="K187" s="3" t="s">
        <v>10</v>
      </c>
      <c r="L187" s="3">
        <v>-500</v>
      </c>
    </row>
    <row r="188" spans="1:13" x14ac:dyDescent="0.25">
      <c r="A188" s="44">
        <f t="shared" si="3"/>
        <v>1</v>
      </c>
      <c r="B188" s="50" t="str">
        <f>VLOOKUP(K188,Lookup!$A$1:$D$34,4,FALSE)</f>
        <v>o_tfr.5.2</v>
      </c>
      <c r="C188" s="9">
        <v>43132</v>
      </c>
      <c r="D188" s="3">
        <v>2018</v>
      </c>
      <c r="E188" s="3">
        <v>2</v>
      </c>
      <c r="F188" s="3" t="s">
        <v>27</v>
      </c>
      <c r="G188" s="3">
        <v>5</v>
      </c>
      <c r="H188">
        <v>2</v>
      </c>
      <c r="I188" s="3">
        <v>2</v>
      </c>
      <c r="J188" s="3" t="s">
        <v>15</v>
      </c>
      <c r="K188" s="3" t="s">
        <v>161</v>
      </c>
      <c r="L188" s="3">
        <v>485</v>
      </c>
    </row>
    <row r="189" spans="1:13" x14ac:dyDescent="0.25">
      <c r="A189" s="44">
        <f t="shared" si="3"/>
        <v>1</v>
      </c>
      <c r="B189" s="50" t="str">
        <f>VLOOKUP(K189,Lookup!$A$1:$D$34,4,FALSE)</f>
        <v>o_tfr.5.2</v>
      </c>
      <c r="C189" s="9">
        <v>43132</v>
      </c>
      <c r="D189" s="3">
        <v>2018</v>
      </c>
      <c r="E189" s="3">
        <v>2</v>
      </c>
      <c r="F189" s="3" t="s">
        <v>27</v>
      </c>
      <c r="G189" s="3">
        <v>5</v>
      </c>
      <c r="H189">
        <v>2</v>
      </c>
      <c r="I189" s="3">
        <v>5</v>
      </c>
      <c r="J189" s="3" t="s">
        <v>15</v>
      </c>
      <c r="K189" s="3" t="s">
        <v>161</v>
      </c>
      <c r="L189" s="3">
        <v>-485</v>
      </c>
    </row>
    <row r="190" spans="1:13" x14ac:dyDescent="0.25">
      <c r="A190" s="44">
        <f t="shared" si="3"/>
        <v>1</v>
      </c>
      <c r="B190" s="50" t="str">
        <f>VLOOKUP(K190,Lookup!$A$1:$D$34,4,FALSE)</f>
        <v>a_open</v>
      </c>
      <c r="C190" s="9">
        <v>43132</v>
      </c>
      <c r="D190" s="3">
        <v>2018</v>
      </c>
      <c r="E190" s="3">
        <v>2</v>
      </c>
      <c r="F190" s="3" t="s">
        <v>27</v>
      </c>
      <c r="G190" s="3">
        <v>5</v>
      </c>
      <c r="H190">
        <v>2</v>
      </c>
      <c r="I190" s="3">
        <v>5</v>
      </c>
      <c r="J190" s="3" t="s">
        <v>15</v>
      </c>
      <c r="K190" s="3" t="s">
        <v>14</v>
      </c>
      <c r="L190" s="3">
        <v>985</v>
      </c>
    </row>
    <row r="191" spans="1:13" x14ac:dyDescent="0.25">
      <c r="A191" s="44">
        <f t="shared" si="3"/>
        <v>1</v>
      </c>
      <c r="B191" s="50" t="str">
        <f>VLOOKUP(K191,Lookup!$A$1:$D$34,4,FALSE)</f>
        <v>zf_close</v>
      </c>
      <c r="C191" s="9">
        <v>43160</v>
      </c>
      <c r="D191" s="3">
        <v>2018</v>
      </c>
      <c r="E191" s="3">
        <v>3</v>
      </c>
      <c r="F191" s="3" t="s">
        <v>27</v>
      </c>
      <c r="G191" s="3">
        <v>2</v>
      </c>
      <c r="H191">
        <v>2</v>
      </c>
      <c r="I191" s="3">
        <v>2</v>
      </c>
      <c r="J191" s="3" t="s">
        <v>8</v>
      </c>
      <c r="K191" s="3" t="s">
        <v>9</v>
      </c>
      <c r="L191" s="3">
        <v>-55</v>
      </c>
    </row>
    <row r="192" spans="1:13" x14ac:dyDescent="0.25">
      <c r="A192" s="44">
        <f t="shared" si="3"/>
        <v>1</v>
      </c>
      <c r="B192" s="50" t="str">
        <f>VLOOKUP(K192,Lookup!$A$1:$D$34,4,FALSE)</f>
        <v>zc_model_change</v>
      </c>
      <c r="C192" s="9">
        <v>43160</v>
      </c>
      <c r="D192" s="3">
        <v>2018</v>
      </c>
      <c r="E192" s="3">
        <v>3</v>
      </c>
      <c r="F192" s="3" t="s">
        <v>27</v>
      </c>
      <c r="G192" s="3">
        <v>2</v>
      </c>
      <c r="H192">
        <v>2</v>
      </c>
      <c r="I192" s="3">
        <v>2</v>
      </c>
      <c r="J192" s="3" t="s">
        <v>8</v>
      </c>
      <c r="K192" s="3" t="s">
        <v>25</v>
      </c>
      <c r="L192" s="3">
        <v>25</v>
      </c>
    </row>
    <row r="193" spans="1:12" x14ac:dyDescent="0.25">
      <c r="A193" s="44">
        <f t="shared" si="3"/>
        <v>1</v>
      </c>
      <c r="B193" s="50" t="str">
        <f>VLOOKUP(K193,Lookup!$A$1:$D$34,4,FALSE)</f>
        <v>za_re-measure_no_migr</v>
      </c>
      <c r="C193" s="9">
        <v>43160</v>
      </c>
      <c r="D193" s="3">
        <v>2018</v>
      </c>
      <c r="E193" s="3">
        <v>3</v>
      </c>
      <c r="F193" s="3" t="s">
        <v>27</v>
      </c>
      <c r="G193" s="3">
        <v>2</v>
      </c>
      <c r="H193">
        <v>2</v>
      </c>
      <c r="I193" s="3">
        <v>2</v>
      </c>
      <c r="J193" s="3" t="s">
        <v>8</v>
      </c>
      <c r="K193" s="3" t="s">
        <v>11</v>
      </c>
      <c r="L193" s="3">
        <v>-25</v>
      </c>
    </row>
    <row r="194" spans="1:12" x14ac:dyDescent="0.25">
      <c r="A194" s="44">
        <f t="shared" si="3"/>
        <v>1</v>
      </c>
      <c r="B194" s="50" t="str">
        <f>VLOOKUP(K194,Lookup!$A$1:$D$34,4,FALSE)</f>
        <v>a_open</v>
      </c>
      <c r="C194" s="9">
        <v>43160</v>
      </c>
      <c r="D194" s="3">
        <v>2018</v>
      </c>
      <c r="E194" s="3">
        <v>3</v>
      </c>
      <c r="F194" s="3" t="s">
        <v>27</v>
      </c>
      <c r="G194" s="3">
        <v>2</v>
      </c>
      <c r="H194">
        <v>2</v>
      </c>
      <c r="I194" s="3">
        <v>2</v>
      </c>
      <c r="J194" s="3" t="s">
        <v>8</v>
      </c>
      <c r="K194" s="3" t="s">
        <v>14</v>
      </c>
      <c r="L194" s="3">
        <v>-55</v>
      </c>
    </row>
    <row r="195" spans="1:12" x14ac:dyDescent="0.25">
      <c r="A195" s="44">
        <f t="shared" si="3"/>
        <v>1</v>
      </c>
      <c r="B195" s="50" t="str">
        <f>VLOOKUP(K195,Lookup!$A$1:$D$34,4,FALSE)</f>
        <v>zf_close</v>
      </c>
      <c r="C195" s="9">
        <v>43160</v>
      </c>
      <c r="D195" s="3">
        <v>2018</v>
      </c>
      <c r="E195" s="3">
        <v>3</v>
      </c>
      <c r="F195" s="3" t="s">
        <v>27</v>
      </c>
      <c r="G195" s="3">
        <v>2</v>
      </c>
      <c r="H195">
        <v>2</v>
      </c>
      <c r="I195" s="3">
        <v>2</v>
      </c>
      <c r="J195" s="3" t="s">
        <v>15</v>
      </c>
      <c r="K195" s="3" t="s">
        <v>9</v>
      </c>
      <c r="L195" s="3">
        <v>495</v>
      </c>
    </row>
    <row r="196" spans="1:12" x14ac:dyDescent="0.25">
      <c r="A196" s="44">
        <f t="shared" si="3"/>
        <v>1</v>
      </c>
      <c r="B196" s="50" t="str">
        <f>VLOOKUP(K196,Lookup!$A$1:$D$34,4,FALSE)</f>
        <v>zd_other</v>
      </c>
      <c r="C196" s="9">
        <v>43160</v>
      </c>
      <c r="D196" s="3">
        <v>2018</v>
      </c>
      <c r="E196" s="3">
        <v>3</v>
      </c>
      <c r="F196" s="3" t="s">
        <v>27</v>
      </c>
      <c r="G196" s="3">
        <v>2</v>
      </c>
      <c r="H196">
        <v>2</v>
      </c>
      <c r="I196" s="3">
        <v>2</v>
      </c>
      <c r="J196" s="3" t="s">
        <v>15</v>
      </c>
      <c r="K196" s="3" t="s">
        <v>18</v>
      </c>
      <c r="L196" s="3">
        <v>5</v>
      </c>
    </row>
    <row r="197" spans="1:12" x14ac:dyDescent="0.25">
      <c r="A197" s="44">
        <f t="shared" si="3"/>
        <v>1</v>
      </c>
      <c r="B197" s="50" t="str">
        <f>VLOOKUP(K197,Lookup!$A$1:$D$34,4,FALSE)</f>
        <v>a_open</v>
      </c>
      <c r="C197" s="9">
        <v>43160</v>
      </c>
      <c r="D197" s="3">
        <v>2018</v>
      </c>
      <c r="E197" s="3">
        <v>3</v>
      </c>
      <c r="F197" s="3" t="s">
        <v>27</v>
      </c>
      <c r="G197" s="3">
        <v>2</v>
      </c>
      <c r="H197">
        <v>2</v>
      </c>
      <c r="I197" s="3">
        <v>2</v>
      </c>
      <c r="J197" s="3" t="s">
        <v>15</v>
      </c>
      <c r="K197" s="3" t="s">
        <v>14</v>
      </c>
      <c r="L197" s="3">
        <v>490</v>
      </c>
    </row>
    <row r="198" spans="1:12" x14ac:dyDescent="0.25">
      <c r="A198" s="44">
        <f t="shared" si="3"/>
        <v>1</v>
      </c>
      <c r="B198" s="50" t="str">
        <f>VLOOKUP(K198,Lookup!$A$1:$D$34,4,FALSE)</f>
        <v>v_repay_rvlv</v>
      </c>
      <c r="C198" s="9">
        <v>43191</v>
      </c>
      <c r="D198" s="3">
        <v>2018</v>
      </c>
      <c r="E198" s="3">
        <v>4</v>
      </c>
      <c r="F198" s="3" t="s">
        <v>27</v>
      </c>
      <c r="G198" s="3">
        <v>2</v>
      </c>
      <c r="H198">
        <v>2</v>
      </c>
      <c r="I198" s="3">
        <v>2</v>
      </c>
      <c r="J198" s="3" t="s">
        <v>8</v>
      </c>
      <c r="K198" s="3" t="s">
        <v>10</v>
      </c>
      <c r="L198" s="3">
        <v>55</v>
      </c>
    </row>
    <row r="199" spans="1:12" x14ac:dyDescent="0.25">
      <c r="A199" s="44">
        <f t="shared" si="3"/>
        <v>1</v>
      </c>
      <c r="B199" s="50" t="str">
        <f>VLOOKUP(K199,Lookup!$A$1:$D$34,4,FALSE)</f>
        <v>a_open</v>
      </c>
      <c r="C199" s="9">
        <v>43191</v>
      </c>
      <c r="D199" s="3">
        <v>2018</v>
      </c>
      <c r="E199" s="3">
        <v>4</v>
      </c>
      <c r="F199" s="3" t="s">
        <v>27</v>
      </c>
      <c r="G199" s="3">
        <v>2</v>
      </c>
      <c r="H199">
        <v>2</v>
      </c>
      <c r="I199" s="3">
        <v>2</v>
      </c>
      <c r="J199" s="3" t="s">
        <v>8</v>
      </c>
      <c r="K199" s="3" t="s">
        <v>14</v>
      </c>
      <c r="L199" s="3">
        <v>-55</v>
      </c>
    </row>
    <row r="200" spans="1:12" x14ac:dyDescent="0.25">
      <c r="A200" s="44">
        <f t="shared" ref="A200:A263" si="4">IF(OR(AND(C200=$A$1,J200="op"),AND(C200=$A$2,J200="cl"),AND(C200&gt;=$A$1,C200&lt;=$A$2,J200&lt;&gt;"op",J200&lt;&gt;"cl")),1,0)</f>
        <v>1</v>
      </c>
      <c r="B200" s="50" t="str">
        <f>VLOOKUP(K200,Lookup!$A$1:$D$34,4,FALSE)</f>
        <v>zd_other</v>
      </c>
      <c r="C200" s="9">
        <v>43191</v>
      </c>
      <c r="D200" s="3">
        <v>2018</v>
      </c>
      <c r="E200" s="3">
        <v>4</v>
      </c>
      <c r="F200" s="3" t="s">
        <v>27</v>
      </c>
      <c r="G200" s="3">
        <v>2</v>
      </c>
      <c r="H200">
        <v>2</v>
      </c>
      <c r="I200" s="3">
        <v>2</v>
      </c>
      <c r="J200" s="3" t="s">
        <v>15</v>
      </c>
      <c r="K200" s="3" t="s">
        <v>18</v>
      </c>
      <c r="L200" s="3">
        <v>5</v>
      </c>
    </row>
    <row r="201" spans="1:12" x14ac:dyDescent="0.25">
      <c r="A201" s="44">
        <f t="shared" si="4"/>
        <v>1</v>
      </c>
      <c r="B201" s="50" t="str">
        <f>VLOOKUP(K201,Lookup!$A$1:$D$34,4,FALSE)</f>
        <v>v_repay_rvlv</v>
      </c>
      <c r="C201" s="9">
        <v>43191</v>
      </c>
      <c r="D201" s="3">
        <v>2018</v>
      </c>
      <c r="E201" s="3">
        <v>4</v>
      </c>
      <c r="F201" s="3" t="s">
        <v>27</v>
      </c>
      <c r="G201" s="3">
        <v>2</v>
      </c>
      <c r="H201">
        <v>2</v>
      </c>
      <c r="I201" s="3">
        <v>2</v>
      </c>
      <c r="J201" s="3" t="s">
        <v>15</v>
      </c>
      <c r="K201" s="3" t="s">
        <v>10</v>
      </c>
      <c r="L201" s="3">
        <v>-500</v>
      </c>
    </row>
    <row r="202" spans="1:12" x14ac:dyDescent="0.25">
      <c r="A202" s="44">
        <f t="shared" si="4"/>
        <v>1</v>
      </c>
      <c r="B202" s="50" t="str">
        <f>VLOOKUP(K202,Lookup!$A$1:$D$34,4,FALSE)</f>
        <v>a_open</v>
      </c>
      <c r="C202" s="9">
        <v>43191</v>
      </c>
      <c r="D202" s="3">
        <v>2018</v>
      </c>
      <c r="E202" s="3">
        <v>4</v>
      </c>
      <c r="F202" s="3" t="s">
        <v>27</v>
      </c>
      <c r="G202" s="3">
        <v>2</v>
      </c>
      <c r="H202">
        <v>2</v>
      </c>
      <c r="I202" s="3">
        <v>2</v>
      </c>
      <c r="J202" s="3" t="s">
        <v>15</v>
      </c>
      <c r="K202" s="3" t="s">
        <v>14</v>
      </c>
      <c r="L202" s="3">
        <v>495</v>
      </c>
    </row>
    <row r="203" spans="1:12" x14ac:dyDescent="0.25">
      <c r="A203" s="44">
        <f t="shared" si="4"/>
        <v>0</v>
      </c>
      <c r="B203" s="50" t="str">
        <f>VLOOKUP(K203,Lookup!$A$1:$D$34,4,FALSE)</f>
        <v>zf_close</v>
      </c>
      <c r="C203" s="9">
        <v>43070</v>
      </c>
      <c r="D203" s="3">
        <v>2017</v>
      </c>
      <c r="E203" s="3">
        <v>12</v>
      </c>
      <c r="F203" s="3" t="s">
        <v>29</v>
      </c>
      <c r="G203" s="3" t="s">
        <v>58</v>
      </c>
      <c r="H203">
        <v>5</v>
      </c>
      <c r="I203" s="3">
        <v>5</v>
      </c>
      <c r="J203" s="3" t="s">
        <v>8</v>
      </c>
      <c r="K203" s="3" t="s">
        <v>9</v>
      </c>
      <c r="L203" s="3">
        <v>-225</v>
      </c>
    </row>
    <row r="204" spans="1:12" x14ac:dyDescent="0.25">
      <c r="A204" s="44">
        <f t="shared" si="4"/>
        <v>0</v>
      </c>
      <c r="B204" s="50" t="str">
        <f>VLOOKUP(K204,Lookup!$A$1:$D$34,4,FALSE)</f>
        <v>zf_close</v>
      </c>
      <c r="C204" s="9">
        <v>43070</v>
      </c>
      <c r="D204" s="3">
        <v>2017</v>
      </c>
      <c r="E204" s="3">
        <v>12</v>
      </c>
      <c r="F204" s="3" t="s">
        <v>29</v>
      </c>
      <c r="G204" s="3" t="s">
        <v>58</v>
      </c>
      <c r="H204">
        <v>5</v>
      </c>
      <c r="I204" s="3">
        <v>5</v>
      </c>
      <c r="J204" s="3" t="s">
        <v>15</v>
      </c>
      <c r="K204" s="3" t="s">
        <v>9</v>
      </c>
      <c r="L204" s="3">
        <v>980</v>
      </c>
    </row>
    <row r="205" spans="1:12" x14ac:dyDescent="0.25">
      <c r="A205" s="44">
        <f t="shared" si="4"/>
        <v>1</v>
      </c>
      <c r="B205" s="50" t="str">
        <f>VLOOKUP(K205,Lookup!$A$1:$D$34,4,FALSE)</f>
        <v>zf_close</v>
      </c>
      <c r="C205" s="9">
        <v>43101</v>
      </c>
      <c r="D205" s="3">
        <v>2018</v>
      </c>
      <c r="E205" s="3">
        <v>1</v>
      </c>
      <c r="F205" s="3" t="s">
        <v>29</v>
      </c>
      <c r="G205" s="3">
        <v>5</v>
      </c>
      <c r="H205">
        <v>5</v>
      </c>
      <c r="I205" s="3">
        <v>5</v>
      </c>
      <c r="J205" s="3" t="s">
        <v>8</v>
      </c>
      <c r="K205" s="3" t="s">
        <v>9</v>
      </c>
      <c r="L205" s="3">
        <v>-225</v>
      </c>
    </row>
    <row r="206" spans="1:12" x14ac:dyDescent="0.25">
      <c r="A206" s="44">
        <f t="shared" si="4"/>
        <v>1</v>
      </c>
      <c r="B206" s="50" t="str">
        <f>VLOOKUP(K206,Lookup!$A$1:$D$34,4,FALSE)</f>
        <v>a_open</v>
      </c>
      <c r="C206" s="9">
        <v>43101</v>
      </c>
      <c r="D206" s="3">
        <v>2018</v>
      </c>
      <c r="E206" s="3">
        <v>1</v>
      </c>
      <c r="F206" s="3" t="s">
        <v>29</v>
      </c>
      <c r="G206" s="3">
        <v>5</v>
      </c>
      <c r="H206">
        <v>5</v>
      </c>
      <c r="I206" s="3">
        <v>5</v>
      </c>
      <c r="J206" s="3" t="s">
        <v>8</v>
      </c>
      <c r="K206" s="3" t="s">
        <v>14</v>
      </c>
      <c r="L206" s="3">
        <v>-225</v>
      </c>
    </row>
    <row r="207" spans="1:12" x14ac:dyDescent="0.25">
      <c r="A207" s="44">
        <f t="shared" si="4"/>
        <v>1</v>
      </c>
      <c r="B207" s="50" t="str">
        <f>VLOOKUP(K207,Lookup!$A$1:$D$34,4,FALSE)</f>
        <v>zf_close</v>
      </c>
      <c r="C207" s="9">
        <v>43101</v>
      </c>
      <c r="D207" s="3">
        <v>2018</v>
      </c>
      <c r="E207" s="3">
        <v>1</v>
      </c>
      <c r="F207" s="3" t="s">
        <v>29</v>
      </c>
      <c r="G207" s="3">
        <v>5</v>
      </c>
      <c r="H207">
        <v>5</v>
      </c>
      <c r="I207" s="3">
        <v>5</v>
      </c>
      <c r="J207" s="3" t="s">
        <v>15</v>
      </c>
      <c r="K207" s="3" t="s">
        <v>9</v>
      </c>
      <c r="L207" s="3">
        <v>985</v>
      </c>
    </row>
    <row r="208" spans="1:12" x14ac:dyDescent="0.25">
      <c r="A208" s="44">
        <f t="shared" si="4"/>
        <v>1</v>
      </c>
      <c r="B208" s="50" t="str">
        <f>VLOOKUP(K208,Lookup!$A$1:$D$34,4,FALSE)</f>
        <v>zd_other</v>
      </c>
      <c r="C208" s="9">
        <v>43101</v>
      </c>
      <c r="D208" s="3">
        <v>2018</v>
      </c>
      <c r="E208" s="3">
        <v>1</v>
      </c>
      <c r="F208" s="3" t="s">
        <v>29</v>
      </c>
      <c r="G208" s="3">
        <v>5</v>
      </c>
      <c r="H208">
        <v>5</v>
      </c>
      <c r="I208" s="3">
        <v>5</v>
      </c>
      <c r="J208" s="3" t="s">
        <v>15</v>
      </c>
      <c r="K208" s="3" t="s">
        <v>18</v>
      </c>
      <c r="L208" s="3">
        <v>5</v>
      </c>
    </row>
    <row r="209" spans="1:12" x14ac:dyDescent="0.25">
      <c r="A209" s="44">
        <f t="shared" si="4"/>
        <v>1</v>
      </c>
      <c r="B209" s="50" t="str">
        <f>VLOOKUP(K209,Lookup!$A$1:$D$34,4,FALSE)</f>
        <v>a_open</v>
      </c>
      <c r="C209" s="9">
        <v>43101</v>
      </c>
      <c r="D209" s="3">
        <v>2018</v>
      </c>
      <c r="E209" s="3">
        <v>1</v>
      </c>
      <c r="F209" s="3" t="s">
        <v>29</v>
      </c>
      <c r="G209" s="3">
        <v>5</v>
      </c>
      <c r="H209">
        <v>5</v>
      </c>
      <c r="I209" s="3">
        <v>5</v>
      </c>
      <c r="J209" s="3" t="s">
        <v>15</v>
      </c>
      <c r="K209" s="3" t="s">
        <v>14</v>
      </c>
      <c r="L209" s="3">
        <v>980</v>
      </c>
    </row>
    <row r="210" spans="1:12" x14ac:dyDescent="0.25">
      <c r="A210" s="44">
        <f t="shared" si="4"/>
        <v>1</v>
      </c>
      <c r="B210" s="50" t="str">
        <f>VLOOKUP(K210,Lookup!$A$1:$D$34,4,FALSE)</f>
        <v>zf_close</v>
      </c>
      <c r="C210" s="9">
        <v>43132</v>
      </c>
      <c r="D210" s="3">
        <v>2018</v>
      </c>
      <c r="E210" s="3">
        <v>2</v>
      </c>
      <c r="F210" s="3" t="s">
        <v>29</v>
      </c>
      <c r="G210" s="3">
        <v>5</v>
      </c>
      <c r="H210">
        <v>2</v>
      </c>
      <c r="I210" s="3">
        <v>2</v>
      </c>
      <c r="J210" s="3" t="s">
        <v>8</v>
      </c>
      <c r="K210" s="3" t="s">
        <v>9</v>
      </c>
      <c r="L210" s="3">
        <v>-55</v>
      </c>
    </row>
    <row r="211" spans="1:12" x14ac:dyDescent="0.25">
      <c r="A211" s="44">
        <f t="shared" si="4"/>
        <v>1</v>
      </c>
      <c r="B211" s="50" t="str">
        <f>VLOOKUP(K211,Lookup!$A$1:$D$34,4,FALSE)</f>
        <v>y_repay_term</v>
      </c>
      <c r="C211" s="9">
        <v>43132</v>
      </c>
      <c r="D211" s="3">
        <v>2018</v>
      </c>
      <c r="E211" s="3">
        <v>2</v>
      </c>
      <c r="F211" s="3" t="s">
        <v>29</v>
      </c>
      <c r="G211" s="3">
        <v>5</v>
      </c>
      <c r="H211">
        <v>2</v>
      </c>
      <c r="I211" s="3">
        <v>5</v>
      </c>
      <c r="J211" s="3" t="s">
        <v>8</v>
      </c>
      <c r="K211" s="3" t="s">
        <v>21</v>
      </c>
      <c r="L211" s="3">
        <v>110</v>
      </c>
    </row>
    <row r="212" spans="1:12" x14ac:dyDescent="0.25">
      <c r="A212" s="44">
        <f t="shared" si="4"/>
        <v>1</v>
      </c>
      <c r="B212" s="50" t="str">
        <f>VLOOKUP(K212,Lookup!$A$1:$D$34,4,FALSE)</f>
        <v>zb_re-measure_migr</v>
      </c>
      <c r="C212" s="9">
        <v>43132</v>
      </c>
      <c r="D212" s="3">
        <v>2018</v>
      </c>
      <c r="E212" s="3">
        <v>2</v>
      </c>
      <c r="F212" s="3" t="s">
        <v>29</v>
      </c>
      <c r="G212" s="3">
        <v>5</v>
      </c>
      <c r="H212">
        <v>2</v>
      </c>
      <c r="I212" s="3">
        <v>2</v>
      </c>
      <c r="J212" s="3" t="s">
        <v>8</v>
      </c>
      <c r="K212" s="3" t="s">
        <v>12</v>
      </c>
      <c r="L212" s="3">
        <v>60</v>
      </c>
    </row>
    <row r="213" spans="1:12" x14ac:dyDescent="0.25">
      <c r="A213" s="44">
        <f t="shared" si="4"/>
        <v>1</v>
      </c>
      <c r="B213" s="50" t="str">
        <f>VLOOKUP(K213,Lookup!$A$1:$D$34,4,FALSE)</f>
        <v>o_tfr.5.2</v>
      </c>
      <c r="C213" s="9">
        <v>43132</v>
      </c>
      <c r="D213" s="3">
        <v>2018</v>
      </c>
      <c r="E213" s="3">
        <v>2</v>
      </c>
      <c r="F213" s="3" t="s">
        <v>29</v>
      </c>
      <c r="G213" s="3">
        <v>5</v>
      </c>
      <c r="H213">
        <v>2</v>
      </c>
      <c r="I213" s="3">
        <v>2</v>
      </c>
      <c r="J213" s="3" t="s">
        <v>8</v>
      </c>
      <c r="K213" s="3" t="s">
        <v>161</v>
      </c>
      <c r="L213" s="3">
        <v>-115</v>
      </c>
    </row>
    <row r="214" spans="1:12" x14ac:dyDescent="0.25">
      <c r="A214" s="44">
        <f t="shared" si="4"/>
        <v>1</v>
      </c>
      <c r="B214" s="50" t="str">
        <f>VLOOKUP(K214,Lookup!$A$1:$D$34,4,FALSE)</f>
        <v>o_tfr.5.2</v>
      </c>
      <c r="C214" s="9">
        <v>43132</v>
      </c>
      <c r="D214" s="3">
        <v>2018</v>
      </c>
      <c r="E214" s="3">
        <v>2</v>
      </c>
      <c r="F214" s="3" t="s">
        <v>29</v>
      </c>
      <c r="G214" s="3">
        <v>5</v>
      </c>
      <c r="H214">
        <v>2</v>
      </c>
      <c r="I214" s="3">
        <v>5</v>
      </c>
      <c r="J214" s="3" t="s">
        <v>8</v>
      </c>
      <c r="K214" s="3" t="s">
        <v>161</v>
      </c>
      <c r="L214" s="3">
        <v>115</v>
      </c>
    </row>
    <row r="215" spans="1:12" x14ac:dyDescent="0.25">
      <c r="A215" s="44">
        <f t="shared" si="4"/>
        <v>1</v>
      </c>
      <c r="B215" s="50" t="str">
        <f>VLOOKUP(K215,Lookup!$A$1:$D$34,4,FALSE)</f>
        <v>a_open</v>
      </c>
      <c r="C215" s="9">
        <v>43132</v>
      </c>
      <c r="D215" s="3">
        <v>2018</v>
      </c>
      <c r="E215" s="3">
        <v>2</v>
      </c>
      <c r="F215" s="3" t="s">
        <v>29</v>
      </c>
      <c r="G215" s="3">
        <v>5</v>
      </c>
      <c r="H215">
        <v>2</v>
      </c>
      <c r="I215" s="3">
        <v>5</v>
      </c>
      <c r="J215" s="3" t="s">
        <v>8</v>
      </c>
      <c r="K215" s="3" t="s">
        <v>14</v>
      </c>
      <c r="L215" s="3">
        <v>-225</v>
      </c>
    </row>
    <row r="216" spans="1:12" x14ac:dyDescent="0.25">
      <c r="A216" s="44">
        <f t="shared" si="4"/>
        <v>1</v>
      </c>
      <c r="B216" s="50" t="str">
        <f>VLOOKUP(K216,Lookup!$A$1:$D$34,4,FALSE)</f>
        <v>zf_close</v>
      </c>
      <c r="C216" s="9">
        <v>43132</v>
      </c>
      <c r="D216" s="3">
        <v>2018</v>
      </c>
      <c r="E216" s="3">
        <v>2</v>
      </c>
      <c r="F216" s="3" t="s">
        <v>29</v>
      </c>
      <c r="G216" s="3">
        <v>5</v>
      </c>
      <c r="H216">
        <v>2</v>
      </c>
      <c r="I216" s="3">
        <v>2</v>
      </c>
      <c r="J216" s="3" t="s">
        <v>15</v>
      </c>
      <c r="K216" s="3" t="s">
        <v>9</v>
      </c>
      <c r="L216" s="3">
        <v>490</v>
      </c>
    </row>
    <row r="217" spans="1:12" x14ac:dyDescent="0.25">
      <c r="A217" s="44">
        <f t="shared" si="4"/>
        <v>1</v>
      </c>
      <c r="B217" s="50" t="str">
        <f>VLOOKUP(K217,Lookup!$A$1:$D$34,4,FALSE)</f>
        <v>zd_other</v>
      </c>
      <c r="C217" s="9">
        <v>43132</v>
      </c>
      <c r="D217" s="3">
        <v>2018</v>
      </c>
      <c r="E217" s="3">
        <v>2</v>
      </c>
      <c r="F217" s="3" t="s">
        <v>29</v>
      </c>
      <c r="G217" s="3">
        <v>5</v>
      </c>
      <c r="H217">
        <v>2</v>
      </c>
      <c r="I217" s="3">
        <v>2</v>
      </c>
      <c r="J217" s="3" t="s">
        <v>15</v>
      </c>
      <c r="K217" s="3" t="s">
        <v>18</v>
      </c>
      <c r="L217" s="3">
        <v>5</v>
      </c>
    </row>
    <row r="218" spans="1:12" x14ac:dyDescent="0.25">
      <c r="A218" s="44">
        <f t="shared" si="4"/>
        <v>1</v>
      </c>
      <c r="B218" s="50" t="str">
        <f>VLOOKUP(K218,Lookup!$A$1:$D$34,4,FALSE)</f>
        <v>y_repay_term</v>
      </c>
      <c r="C218" s="9">
        <v>43132</v>
      </c>
      <c r="D218" s="3">
        <v>2018</v>
      </c>
      <c r="E218" s="3">
        <v>2</v>
      </c>
      <c r="F218" s="3" t="s">
        <v>29</v>
      </c>
      <c r="G218" s="3">
        <v>5</v>
      </c>
      <c r="H218">
        <v>2</v>
      </c>
      <c r="I218" s="3">
        <v>5</v>
      </c>
      <c r="J218" s="3" t="s">
        <v>15</v>
      </c>
      <c r="K218" s="3" t="s">
        <v>21</v>
      </c>
      <c r="L218" s="3">
        <v>-500</v>
      </c>
    </row>
    <row r="219" spans="1:12" x14ac:dyDescent="0.25">
      <c r="A219" s="44">
        <f t="shared" si="4"/>
        <v>1</v>
      </c>
      <c r="B219" s="50" t="str">
        <f>VLOOKUP(K219,Lookup!$A$1:$D$34,4,FALSE)</f>
        <v>o_tfr.5.2</v>
      </c>
      <c r="C219" s="9">
        <v>43132</v>
      </c>
      <c r="D219" s="3">
        <v>2018</v>
      </c>
      <c r="E219" s="3">
        <v>2</v>
      </c>
      <c r="F219" s="3" t="s">
        <v>29</v>
      </c>
      <c r="G219" s="3">
        <v>5</v>
      </c>
      <c r="H219">
        <v>2</v>
      </c>
      <c r="I219" s="3">
        <v>2</v>
      </c>
      <c r="J219" s="3" t="s">
        <v>15</v>
      </c>
      <c r="K219" s="3" t="s">
        <v>161</v>
      </c>
      <c r="L219" s="3">
        <v>485</v>
      </c>
    </row>
    <row r="220" spans="1:12" x14ac:dyDescent="0.25">
      <c r="A220" s="44">
        <f t="shared" si="4"/>
        <v>1</v>
      </c>
      <c r="B220" s="50" t="str">
        <f>VLOOKUP(K220,Lookup!$A$1:$D$34,4,FALSE)</f>
        <v>o_tfr.5.2</v>
      </c>
      <c r="C220" s="9">
        <v>43132</v>
      </c>
      <c r="D220" s="3">
        <v>2018</v>
      </c>
      <c r="E220" s="3">
        <v>2</v>
      </c>
      <c r="F220" s="3" t="s">
        <v>29</v>
      </c>
      <c r="G220" s="3">
        <v>5</v>
      </c>
      <c r="H220">
        <v>2</v>
      </c>
      <c r="I220" s="3">
        <v>5</v>
      </c>
      <c r="J220" s="3" t="s">
        <v>15</v>
      </c>
      <c r="K220" s="3" t="s">
        <v>161</v>
      </c>
      <c r="L220" s="3">
        <v>-485</v>
      </c>
    </row>
    <row r="221" spans="1:12" x14ac:dyDescent="0.25">
      <c r="A221" s="44">
        <f t="shared" si="4"/>
        <v>1</v>
      </c>
      <c r="B221" s="50" t="str">
        <f>VLOOKUP(K221,Lookup!$A$1:$D$34,4,FALSE)</f>
        <v>a_open</v>
      </c>
      <c r="C221" s="9">
        <v>43132</v>
      </c>
      <c r="D221" s="3">
        <v>2018</v>
      </c>
      <c r="E221" s="3">
        <v>2</v>
      </c>
      <c r="F221" s="3" t="s">
        <v>29</v>
      </c>
      <c r="G221" s="3">
        <v>5</v>
      </c>
      <c r="H221">
        <v>2</v>
      </c>
      <c r="I221" s="3">
        <v>5</v>
      </c>
      <c r="J221" s="3" t="s">
        <v>15</v>
      </c>
      <c r="K221" s="3" t="s">
        <v>14</v>
      </c>
      <c r="L221" s="3">
        <v>985</v>
      </c>
    </row>
    <row r="222" spans="1:12" x14ac:dyDescent="0.25">
      <c r="A222" s="44">
        <f t="shared" si="4"/>
        <v>1</v>
      </c>
      <c r="B222" s="50" t="str">
        <f>VLOOKUP(K222,Lookup!$A$1:$D$34,4,FALSE)</f>
        <v>zf_close</v>
      </c>
      <c r="C222" s="9">
        <v>43160</v>
      </c>
      <c r="D222" s="3">
        <v>2018</v>
      </c>
      <c r="E222" s="3">
        <v>3</v>
      </c>
      <c r="F222" s="3" t="s">
        <v>29</v>
      </c>
      <c r="G222" s="3">
        <v>2</v>
      </c>
      <c r="H222">
        <v>2</v>
      </c>
      <c r="I222" s="3">
        <v>2</v>
      </c>
      <c r="J222" s="3" t="s">
        <v>8</v>
      </c>
      <c r="K222" s="3" t="s">
        <v>9</v>
      </c>
      <c r="L222" s="3">
        <v>-55</v>
      </c>
    </row>
    <row r="223" spans="1:12" x14ac:dyDescent="0.25">
      <c r="A223" s="44">
        <f t="shared" si="4"/>
        <v>1</v>
      </c>
      <c r="B223" s="50" t="str">
        <f>VLOOKUP(K223,Lookup!$A$1:$D$34,4,FALSE)</f>
        <v>zc_model_change</v>
      </c>
      <c r="C223" s="9">
        <v>43160</v>
      </c>
      <c r="D223" s="3">
        <v>2018</v>
      </c>
      <c r="E223" s="3">
        <v>3</v>
      </c>
      <c r="F223" s="3" t="s">
        <v>29</v>
      </c>
      <c r="G223" s="3">
        <v>2</v>
      </c>
      <c r="H223">
        <v>2</v>
      </c>
      <c r="I223" s="3">
        <v>2</v>
      </c>
      <c r="J223" s="3" t="s">
        <v>8</v>
      </c>
      <c r="K223" s="3" t="s">
        <v>25</v>
      </c>
      <c r="L223" s="3">
        <v>45</v>
      </c>
    </row>
    <row r="224" spans="1:12" x14ac:dyDescent="0.25">
      <c r="A224" s="44">
        <f t="shared" si="4"/>
        <v>1</v>
      </c>
      <c r="B224" s="50" t="str">
        <f>VLOOKUP(K224,Lookup!$A$1:$D$34,4,FALSE)</f>
        <v>za_re-measure_no_migr</v>
      </c>
      <c r="C224" s="9">
        <v>43160</v>
      </c>
      <c r="D224" s="3">
        <v>2018</v>
      </c>
      <c r="E224" s="3">
        <v>3</v>
      </c>
      <c r="F224" s="3" t="s">
        <v>29</v>
      </c>
      <c r="G224" s="3">
        <v>2</v>
      </c>
      <c r="H224">
        <v>2</v>
      </c>
      <c r="I224" s="3">
        <v>2</v>
      </c>
      <c r="J224" s="3" t="s">
        <v>8</v>
      </c>
      <c r="K224" s="3" t="s">
        <v>11</v>
      </c>
      <c r="L224" s="3">
        <v>-45</v>
      </c>
    </row>
    <row r="225" spans="1:12" x14ac:dyDescent="0.25">
      <c r="A225" s="44">
        <f t="shared" si="4"/>
        <v>1</v>
      </c>
      <c r="B225" s="50" t="str">
        <f>VLOOKUP(K225,Lookup!$A$1:$D$34,4,FALSE)</f>
        <v>a_open</v>
      </c>
      <c r="C225" s="9">
        <v>43160</v>
      </c>
      <c r="D225" s="3">
        <v>2018</v>
      </c>
      <c r="E225" s="3">
        <v>3</v>
      </c>
      <c r="F225" s="3" t="s">
        <v>29</v>
      </c>
      <c r="G225" s="3">
        <v>2</v>
      </c>
      <c r="H225">
        <v>2</v>
      </c>
      <c r="I225" s="3">
        <v>2</v>
      </c>
      <c r="J225" s="3" t="s">
        <v>8</v>
      </c>
      <c r="K225" s="3" t="s">
        <v>14</v>
      </c>
      <c r="L225" s="3">
        <v>-55</v>
      </c>
    </row>
    <row r="226" spans="1:12" x14ac:dyDescent="0.25">
      <c r="A226" s="44">
        <f t="shared" si="4"/>
        <v>1</v>
      </c>
      <c r="B226" s="50" t="str">
        <f>VLOOKUP(K226,Lookup!$A$1:$D$34,4,FALSE)</f>
        <v>zf_close</v>
      </c>
      <c r="C226" s="9">
        <v>43160</v>
      </c>
      <c r="D226" s="3">
        <v>2018</v>
      </c>
      <c r="E226" s="3">
        <v>3</v>
      </c>
      <c r="F226" s="3" t="s">
        <v>29</v>
      </c>
      <c r="G226" s="3">
        <v>2</v>
      </c>
      <c r="H226">
        <v>2</v>
      </c>
      <c r="I226" s="3">
        <v>2</v>
      </c>
      <c r="J226" s="3" t="s">
        <v>15</v>
      </c>
      <c r="K226" s="3" t="s">
        <v>9</v>
      </c>
      <c r="L226" s="3">
        <v>495</v>
      </c>
    </row>
    <row r="227" spans="1:12" x14ac:dyDescent="0.25">
      <c r="A227" s="44">
        <f t="shared" si="4"/>
        <v>1</v>
      </c>
      <c r="B227" s="50" t="str">
        <f>VLOOKUP(K227,Lookup!$A$1:$D$34,4,FALSE)</f>
        <v>zd_other</v>
      </c>
      <c r="C227" s="9">
        <v>43160</v>
      </c>
      <c r="D227" s="3">
        <v>2018</v>
      </c>
      <c r="E227" s="3">
        <v>3</v>
      </c>
      <c r="F227" s="3" t="s">
        <v>29</v>
      </c>
      <c r="G227" s="3">
        <v>2</v>
      </c>
      <c r="H227">
        <v>2</v>
      </c>
      <c r="I227" s="3">
        <v>2</v>
      </c>
      <c r="J227" s="3" t="s">
        <v>15</v>
      </c>
      <c r="K227" s="3" t="s">
        <v>18</v>
      </c>
      <c r="L227" s="3">
        <v>5</v>
      </c>
    </row>
    <row r="228" spans="1:12" x14ac:dyDescent="0.25">
      <c r="A228" s="44">
        <f t="shared" si="4"/>
        <v>1</v>
      </c>
      <c r="B228" s="50" t="str">
        <f>VLOOKUP(K228,Lookup!$A$1:$D$34,4,FALSE)</f>
        <v>a_open</v>
      </c>
      <c r="C228" s="9">
        <v>43160</v>
      </c>
      <c r="D228" s="3">
        <v>2018</v>
      </c>
      <c r="E228" s="3">
        <v>3</v>
      </c>
      <c r="F228" s="3" t="s">
        <v>29</v>
      </c>
      <c r="G228" s="3">
        <v>2</v>
      </c>
      <c r="H228">
        <v>2</v>
      </c>
      <c r="I228" s="3">
        <v>2</v>
      </c>
      <c r="J228" s="3" t="s">
        <v>15</v>
      </c>
      <c r="K228" s="3" t="s">
        <v>14</v>
      </c>
      <c r="L228" s="3">
        <v>490</v>
      </c>
    </row>
    <row r="229" spans="1:12" x14ac:dyDescent="0.25">
      <c r="A229" s="44">
        <f t="shared" si="4"/>
        <v>1</v>
      </c>
      <c r="B229" s="50" t="str">
        <f>VLOOKUP(K229,Lookup!$A$1:$D$34,4,FALSE)</f>
        <v>z_repay_term_final</v>
      </c>
      <c r="C229" s="9">
        <v>43191</v>
      </c>
      <c r="D229" s="3">
        <v>2018</v>
      </c>
      <c r="E229" s="3">
        <v>4</v>
      </c>
      <c r="F229" s="3" t="s">
        <v>29</v>
      </c>
      <c r="G229" s="3">
        <v>2</v>
      </c>
      <c r="H229">
        <v>2</v>
      </c>
      <c r="I229" s="3">
        <v>2</v>
      </c>
      <c r="J229" s="3" t="s">
        <v>8</v>
      </c>
      <c r="K229" s="3" t="s">
        <v>17</v>
      </c>
      <c r="L229" s="3">
        <v>55</v>
      </c>
    </row>
    <row r="230" spans="1:12" x14ac:dyDescent="0.25">
      <c r="A230" s="44">
        <f t="shared" si="4"/>
        <v>1</v>
      </c>
      <c r="B230" s="50" t="str">
        <f>VLOOKUP(K230,Lookup!$A$1:$D$34,4,FALSE)</f>
        <v>a_open</v>
      </c>
      <c r="C230" s="9">
        <v>43191</v>
      </c>
      <c r="D230" s="3">
        <v>2018</v>
      </c>
      <c r="E230" s="3">
        <v>4</v>
      </c>
      <c r="F230" s="3" t="s">
        <v>29</v>
      </c>
      <c r="G230" s="3">
        <v>2</v>
      </c>
      <c r="H230">
        <v>2</v>
      </c>
      <c r="I230" s="3">
        <v>2</v>
      </c>
      <c r="J230" s="3" t="s">
        <v>8</v>
      </c>
      <c r="K230" s="3" t="s">
        <v>14</v>
      </c>
      <c r="L230" s="3">
        <v>-55</v>
      </c>
    </row>
    <row r="231" spans="1:12" x14ac:dyDescent="0.25">
      <c r="A231" s="44">
        <f t="shared" si="4"/>
        <v>1</v>
      </c>
      <c r="B231" s="50" t="str">
        <f>VLOOKUP(K231,Lookup!$A$1:$D$34,4,FALSE)</f>
        <v>zd_other</v>
      </c>
      <c r="C231" s="9">
        <v>43191</v>
      </c>
      <c r="D231" s="3">
        <v>2018</v>
      </c>
      <c r="E231" s="3">
        <v>4</v>
      </c>
      <c r="F231" s="3" t="s">
        <v>29</v>
      </c>
      <c r="G231" s="3">
        <v>2</v>
      </c>
      <c r="H231">
        <v>2</v>
      </c>
      <c r="I231" s="3">
        <v>2</v>
      </c>
      <c r="J231" s="3" t="s">
        <v>15</v>
      </c>
      <c r="K231" s="3" t="s">
        <v>18</v>
      </c>
      <c r="L231" s="3">
        <v>5</v>
      </c>
    </row>
    <row r="232" spans="1:12" x14ac:dyDescent="0.25">
      <c r="A232" s="44">
        <f t="shared" si="4"/>
        <v>1</v>
      </c>
      <c r="B232" s="50" t="str">
        <f>VLOOKUP(K232,Lookup!$A$1:$D$34,4,FALSE)</f>
        <v>z_repay_term_final</v>
      </c>
      <c r="C232" s="9">
        <v>43191</v>
      </c>
      <c r="D232" s="3">
        <v>2018</v>
      </c>
      <c r="E232" s="3">
        <v>4</v>
      </c>
      <c r="F232" s="3" t="s">
        <v>29</v>
      </c>
      <c r="G232" s="3">
        <v>2</v>
      </c>
      <c r="H232">
        <v>2</v>
      </c>
      <c r="I232" s="3">
        <v>2</v>
      </c>
      <c r="J232" s="3" t="s">
        <v>15</v>
      </c>
      <c r="K232" s="3" t="s">
        <v>17</v>
      </c>
      <c r="L232" s="3">
        <v>-500</v>
      </c>
    </row>
    <row r="233" spans="1:12" x14ac:dyDescent="0.25">
      <c r="A233" s="44">
        <f t="shared" si="4"/>
        <v>1</v>
      </c>
      <c r="B233" s="50" t="str">
        <f>VLOOKUP(K233,Lookup!$A$1:$D$34,4,FALSE)</f>
        <v>a_open</v>
      </c>
      <c r="C233" s="9">
        <v>43191</v>
      </c>
      <c r="D233" s="3">
        <v>2018</v>
      </c>
      <c r="E233" s="3">
        <v>4</v>
      </c>
      <c r="F233" s="3" t="s">
        <v>29</v>
      </c>
      <c r="G233" s="3">
        <v>2</v>
      </c>
      <c r="H233">
        <v>2</v>
      </c>
      <c r="I233" s="3">
        <v>2</v>
      </c>
      <c r="J233" s="3" t="s">
        <v>15</v>
      </c>
      <c r="K233" s="3" t="s">
        <v>14</v>
      </c>
      <c r="L233" s="3">
        <v>495</v>
      </c>
    </row>
    <row r="234" spans="1:12" x14ac:dyDescent="0.25">
      <c r="A234" s="44">
        <f t="shared" si="4"/>
        <v>0</v>
      </c>
      <c r="B234" s="50" t="str">
        <f>VLOOKUP(K234,Lookup!$A$1:$D$34,4,FALSE)</f>
        <v>zf_close</v>
      </c>
      <c r="C234" s="9">
        <v>43070</v>
      </c>
      <c r="D234" s="3">
        <v>2017</v>
      </c>
      <c r="E234" s="3">
        <v>12</v>
      </c>
      <c r="F234" s="3" t="s">
        <v>30</v>
      </c>
      <c r="G234" s="3" t="s">
        <v>58</v>
      </c>
      <c r="H234">
        <v>3</v>
      </c>
      <c r="I234" s="3">
        <v>3</v>
      </c>
      <c r="J234" s="3" t="s">
        <v>8</v>
      </c>
      <c r="K234" s="3" t="s">
        <v>9</v>
      </c>
      <c r="L234" s="3">
        <v>400</v>
      </c>
    </row>
    <row r="235" spans="1:12" x14ac:dyDescent="0.25">
      <c r="A235" s="44">
        <f t="shared" si="4"/>
        <v>0</v>
      </c>
      <c r="B235" s="50" t="str">
        <f>VLOOKUP(K235,Lookup!$A$1:$D$34,4,FALSE)</f>
        <v>zf_close</v>
      </c>
      <c r="C235" s="9">
        <v>43070</v>
      </c>
      <c r="D235" s="3">
        <v>2017</v>
      </c>
      <c r="E235" s="3">
        <v>12</v>
      </c>
      <c r="F235" s="3" t="s">
        <v>30</v>
      </c>
      <c r="G235" s="3" t="s">
        <v>58</v>
      </c>
      <c r="H235">
        <v>3</v>
      </c>
      <c r="I235" s="3">
        <v>3</v>
      </c>
      <c r="J235" s="3" t="s">
        <v>15</v>
      </c>
      <c r="K235" s="3" t="s">
        <v>9</v>
      </c>
      <c r="L235" s="3">
        <v>1250</v>
      </c>
    </row>
    <row r="236" spans="1:12" x14ac:dyDescent="0.25">
      <c r="A236" s="44">
        <f t="shared" si="4"/>
        <v>1</v>
      </c>
      <c r="B236" s="50" t="str">
        <f>VLOOKUP(K236,Lookup!$A$1:$D$34,4,FALSE)</f>
        <v>zf_close</v>
      </c>
      <c r="C236" s="9">
        <v>43101</v>
      </c>
      <c r="D236" s="3">
        <v>2018</v>
      </c>
      <c r="E236" s="3">
        <v>1</v>
      </c>
      <c r="F236" s="3" t="s">
        <v>30</v>
      </c>
      <c r="G236" s="3">
        <v>3</v>
      </c>
      <c r="H236">
        <v>3</v>
      </c>
      <c r="I236" s="3">
        <v>3</v>
      </c>
      <c r="J236" s="3" t="s">
        <v>8</v>
      </c>
      <c r="K236" s="3" t="s">
        <v>9</v>
      </c>
      <c r="L236" s="3">
        <v>0.02</v>
      </c>
    </row>
    <row r="237" spans="1:12" x14ac:dyDescent="0.25">
      <c r="A237" s="44">
        <f t="shared" si="4"/>
        <v>1</v>
      </c>
      <c r="B237" s="50" t="str">
        <f>VLOOKUP(K237,Lookup!$A$1:$D$34,4,FALSE)</f>
        <v>za_re-measure_no_migr</v>
      </c>
      <c r="C237" s="9">
        <v>43101</v>
      </c>
      <c r="D237" s="3">
        <v>2018</v>
      </c>
      <c r="E237" s="3">
        <v>1</v>
      </c>
      <c r="F237" s="3" t="s">
        <v>30</v>
      </c>
      <c r="G237" s="3">
        <v>3</v>
      </c>
      <c r="H237">
        <v>3</v>
      </c>
      <c r="I237" s="3">
        <v>3</v>
      </c>
      <c r="J237" s="3" t="s">
        <v>8</v>
      </c>
      <c r="K237" s="3" t="s">
        <v>11</v>
      </c>
      <c r="L237" s="3">
        <v>-399.98</v>
      </c>
    </row>
    <row r="238" spans="1:12" x14ac:dyDescent="0.25">
      <c r="A238" s="44">
        <f t="shared" si="4"/>
        <v>1</v>
      </c>
      <c r="B238" s="50" t="str">
        <f>VLOOKUP(K238,Lookup!$A$1:$D$34,4,FALSE)</f>
        <v>a_open</v>
      </c>
      <c r="C238" s="9">
        <v>43101</v>
      </c>
      <c r="D238" s="3">
        <v>2018</v>
      </c>
      <c r="E238" s="3">
        <v>1</v>
      </c>
      <c r="F238" s="3" t="s">
        <v>30</v>
      </c>
      <c r="G238" s="3">
        <v>3</v>
      </c>
      <c r="H238">
        <v>3</v>
      </c>
      <c r="I238" s="3">
        <v>3</v>
      </c>
      <c r="J238" s="3" t="s">
        <v>8</v>
      </c>
      <c r="K238" s="3" t="s">
        <v>14</v>
      </c>
      <c r="L238" s="3">
        <v>400</v>
      </c>
    </row>
    <row r="239" spans="1:12" x14ac:dyDescent="0.25">
      <c r="A239" s="44">
        <f t="shared" si="4"/>
        <v>1</v>
      </c>
      <c r="B239" s="50" t="str">
        <f>VLOOKUP(K239,Lookup!$A$1:$D$34,4,FALSE)</f>
        <v>zf_close</v>
      </c>
      <c r="C239" s="9">
        <v>43101</v>
      </c>
      <c r="D239" s="3">
        <v>2018</v>
      </c>
      <c r="E239" s="3">
        <v>1</v>
      </c>
      <c r="F239" s="3" t="s">
        <v>30</v>
      </c>
      <c r="G239" s="3">
        <v>3</v>
      </c>
      <c r="H239">
        <v>3</v>
      </c>
      <c r="I239" s="3">
        <v>3</v>
      </c>
      <c r="J239" s="3" t="s">
        <v>15</v>
      </c>
      <c r="K239" s="3" t="s">
        <v>9</v>
      </c>
      <c r="L239" s="3">
        <v>1250</v>
      </c>
    </row>
    <row r="240" spans="1:12" x14ac:dyDescent="0.25">
      <c r="A240" s="44">
        <f t="shared" si="4"/>
        <v>1</v>
      </c>
      <c r="B240" s="50" t="str">
        <f>VLOOKUP(K240,Lookup!$A$1:$D$34,4,FALSE)</f>
        <v>a_open</v>
      </c>
      <c r="C240" s="9">
        <v>43101</v>
      </c>
      <c r="D240" s="3">
        <v>2018</v>
      </c>
      <c r="E240" s="3">
        <v>1</v>
      </c>
      <c r="F240" s="3" t="s">
        <v>30</v>
      </c>
      <c r="G240" s="3">
        <v>3</v>
      </c>
      <c r="H240">
        <v>3</v>
      </c>
      <c r="I240" s="3">
        <v>3</v>
      </c>
      <c r="J240" s="3" t="s">
        <v>15</v>
      </c>
      <c r="K240" s="3" t="s">
        <v>14</v>
      </c>
      <c r="L240" s="3">
        <v>1250</v>
      </c>
    </row>
    <row r="241" spans="1:12" x14ac:dyDescent="0.25">
      <c r="A241" s="44">
        <f t="shared" si="4"/>
        <v>1</v>
      </c>
      <c r="B241" s="50" t="str">
        <f>VLOOKUP(K241,Lookup!$A$1:$D$34,4,FALSE)</f>
        <v>zf_close</v>
      </c>
      <c r="C241" s="9">
        <v>43132</v>
      </c>
      <c r="D241" s="3">
        <v>2018</v>
      </c>
      <c r="E241" s="3">
        <v>2</v>
      </c>
      <c r="F241" s="3" t="s">
        <v>30</v>
      </c>
      <c r="G241" s="3">
        <v>3</v>
      </c>
      <c r="H241">
        <v>3</v>
      </c>
      <c r="I241" s="3">
        <v>3</v>
      </c>
      <c r="J241" s="3" t="s">
        <v>8</v>
      </c>
      <c r="K241" s="3" t="s">
        <v>9</v>
      </c>
      <c r="L241" s="3">
        <v>0.02</v>
      </c>
    </row>
    <row r="242" spans="1:12" x14ac:dyDescent="0.25">
      <c r="A242" s="44">
        <f t="shared" si="4"/>
        <v>1</v>
      </c>
      <c r="B242" s="50" t="str">
        <f>VLOOKUP(K242,Lookup!$A$1:$D$34,4,FALSE)</f>
        <v>a_open</v>
      </c>
      <c r="C242" s="9">
        <v>43132</v>
      </c>
      <c r="D242" s="3">
        <v>2018</v>
      </c>
      <c r="E242" s="3">
        <v>2</v>
      </c>
      <c r="F242" s="3" t="s">
        <v>30</v>
      </c>
      <c r="G242" s="3">
        <v>3</v>
      </c>
      <c r="H242">
        <v>3</v>
      </c>
      <c r="I242" s="3">
        <v>3</v>
      </c>
      <c r="J242" s="3" t="s">
        <v>8</v>
      </c>
      <c r="K242" s="3" t="s">
        <v>14</v>
      </c>
      <c r="L242" s="3">
        <v>0.02</v>
      </c>
    </row>
    <row r="243" spans="1:12" x14ac:dyDescent="0.25">
      <c r="A243" s="44">
        <f t="shared" si="4"/>
        <v>1</v>
      </c>
      <c r="B243" s="50" t="str">
        <f>VLOOKUP(K243,Lookup!$A$1:$D$34,4,FALSE)</f>
        <v>zf_close</v>
      </c>
      <c r="C243" s="9">
        <v>43132</v>
      </c>
      <c r="D243" s="3">
        <v>2018</v>
      </c>
      <c r="E243" s="3">
        <v>2</v>
      </c>
      <c r="F243" s="3" t="s">
        <v>30</v>
      </c>
      <c r="G243" s="3">
        <v>3</v>
      </c>
      <c r="H243">
        <v>3</v>
      </c>
      <c r="I243" s="3">
        <v>3</v>
      </c>
      <c r="J243" s="3" t="s">
        <v>15</v>
      </c>
      <c r="K243" s="3" t="s">
        <v>9</v>
      </c>
      <c r="L243" s="3">
        <v>1000</v>
      </c>
    </row>
    <row r="244" spans="1:12" x14ac:dyDescent="0.25">
      <c r="A244" s="44">
        <f t="shared" si="4"/>
        <v>1</v>
      </c>
      <c r="B244" s="50" t="str">
        <f>VLOOKUP(K244,Lookup!$A$1:$D$34,4,FALSE)</f>
        <v>v_repay_rvlv</v>
      </c>
      <c r="C244" s="9">
        <v>43132</v>
      </c>
      <c r="D244" s="3">
        <v>2018</v>
      </c>
      <c r="E244" s="3">
        <v>2</v>
      </c>
      <c r="F244" s="3" t="s">
        <v>30</v>
      </c>
      <c r="G244" s="3">
        <v>3</v>
      </c>
      <c r="H244">
        <v>3</v>
      </c>
      <c r="I244" s="3">
        <v>3</v>
      </c>
      <c r="J244" s="3" t="s">
        <v>15</v>
      </c>
      <c r="K244" s="3" t="s">
        <v>10</v>
      </c>
      <c r="L244" s="3">
        <v>-250</v>
      </c>
    </row>
    <row r="245" spans="1:12" x14ac:dyDescent="0.25">
      <c r="A245" s="44">
        <f t="shared" si="4"/>
        <v>1</v>
      </c>
      <c r="B245" s="50" t="str">
        <f>VLOOKUP(K245,Lookup!$A$1:$D$34,4,FALSE)</f>
        <v>a_open</v>
      </c>
      <c r="C245" s="9">
        <v>43132</v>
      </c>
      <c r="D245" s="3">
        <v>2018</v>
      </c>
      <c r="E245" s="3">
        <v>2</v>
      </c>
      <c r="F245" s="3" t="s">
        <v>30</v>
      </c>
      <c r="G245" s="3">
        <v>3</v>
      </c>
      <c r="H245">
        <v>3</v>
      </c>
      <c r="I245" s="3">
        <v>3</v>
      </c>
      <c r="J245" s="3" t="s">
        <v>15</v>
      </c>
      <c r="K245" s="3" t="s">
        <v>14</v>
      </c>
      <c r="L245" s="3">
        <v>1250</v>
      </c>
    </row>
    <row r="246" spans="1:12" x14ac:dyDescent="0.25">
      <c r="A246" s="44">
        <f t="shared" si="4"/>
        <v>1</v>
      </c>
      <c r="B246" s="50" t="str">
        <f>VLOOKUP(K246,Lookup!$A$1:$D$34,4,FALSE)</f>
        <v>za_re-measure_no_migr</v>
      </c>
      <c r="C246" s="9">
        <v>43160</v>
      </c>
      <c r="D246" s="3">
        <v>2018</v>
      </c>
      <c r="E246" s="3">
        <v>3</v>
      </c>
      <c r="F246" s="3" t="s">
        <v>30</v>
      </c>
      <c r="G246" s="3">
        <v>3</v>
      </c>
      <c r="H246">
        <v>3</v>
      </c>
      <c r="I246" s="3">
        <v>3</v>
      </c>
      <c r="J246" s="3" t="s">
        <v>8</v>
      </c>
      <c r="K246" s="3" t="s">
        <v>11</v>
      </c>
      <c r="L246" s="3">
        <v>-0.02</v>
      </c>
    </row>
    <row r="247" spans="1:12" x14ac:dyDescent="0.25">
      <c r="A247" s="44">
        <f t="shared" si="4"/>
        <v>1</v>
      </c>
      <c r="B247" s="50" t="str">
        <f>VLOOKUP(K247,Lookup!$A$1:$D$34,4,FALSE)</f>
        <v>a_open</v>
      </c>
      <c r="C247" s="9">
        <v>43160</v>
      </c>
      <c r="D247" s="3">
        <v>2018</v>
      </c>
      <c r="E247" s="3">
        <v>3</v>
      </c>
      <c r="F247" s="3" t="s">
        <v>30</v>
      </c>
      <c r="G247" s="3">
        <v>3</v>
      </c>
      <c r="H247">
        <v>3</v>
      </c>
      <c r="I247" s="3">
        <v>3</v>
      </c>
      <c r="J247" s="3" t="s">
        <v>8</v>
      </c>
      <c r="K247" s="3" t="s">
        <v>14</v>
      </c>
      <c r="L247" s="3">
        <v>0.02</v>
      </c>
    </row>
    <row r="248" spans="1:12" x14ac:dyDescent="0.25">
      <c r="A248" s="44">
        <f t="shared" si="4"/>
        <v>1</v>
      </c>
      <c r="B248" s="50" t="str">
        <f>VLOOKUP(K248,Lookup!$A$1:$D$34,4,FALSE)</f>
        <v>v_repay_rvlv</v>
      </c>
      <c r="C248" s="9">
        <v>43160</v>
      </c>
      <c r="D248" s="3">
        <v>2018</v>
      </c>
      <c r="E248" s="3">
        <v>3</v>
      </c>
      <c r="F248" s="3" t="s">
        <v>30</v>
      </c>
      <c r="G248" s="3">
        <v>3</v>
      </c>
      <c r="H248">
        <v>3</v>
      </c>
      <c r="I248" s="3">
        <v>3</v>
      </c>
      <c r="J248" s="3" t="s">
        <v>15</v>
      </c>
      <c r="K248" s="3" t="s">
        <v>10</v>
      </c>
      <c r="L248" s="3">
        <v>-1000</v>
      </c>
    </row>
    <row r="249" spans="1:12" x14ac:dyDescent="0.25">
      <c r="A249" s="44">
        <f t="shared" si="4"/>
        <v>1</v>
      </c>
      <c r="B249" s="50" t="str">
        <f>VLOOKUP(K249,Lookup!$A$1:$D$34,4,FALSE)</f>
        <v>a_open</v>
      </c>
      <c r="C249" s="9">
        <v>43160</v>
      </c>
      <c r="D249" s="3">
        <v>2018</v>
      </c>
      <c r="E249" s="3">
        <v>3</v>
      </c>
      <c r="F249" s="3" t="s">
        <v>30</v>
      </c>
      <c r="G249" s="3">
        <v>3</v>
      </c>
      <c r="H249">
        <v>3</v>
      </c>
      <c r="I249" s="3">
        <v>3</v>
      </c>
      <c r="J249" s="3" t="s">
        <v>15</v>
      </c>
      <c r="K249" s="3" t="s">
        <v>14</v>
      </c>
      <c r="L249" s="3">
        <v>1000</v>
      </c>
    </row>
    <row r="250" spans="1:12" x14ac:dyDescent="0.25">
      <c r="A250" s="44">
        <f t="shared" si="4"/>
        <v>0</v>
      </c>
      <c r="B250" s="50" t="str">
        <f>VLOOKUP(K250,Lookup!$A$1:$D$34,4,FALSE)</f>
        <v>zf_close</v>
      </c>
      <c r="C250" s="9">
        <v>43070</v>
      </c>
      <c r="D250" s="3">
        <v>2017</v>
      </c>
      <c r="E250" s="3">
        <v>12</v>
      </c>
      <c r="F250" s="3" t="s">
        <v>31</v>
      </c>
      <c r="G250" s="3" t="s">
        <v>58</v>
      </c>
      <c r="H250">
        <v>1</v>
      </c>
      <c r="I250" s="3">
        <v>1</v>
      </c>
      <c r="J250" s="3" t="s">
        <v>8</v>
      </c>
      <c r="K250" s="3" t="s">
        <v>9</v>
      </c>
      <c r="L250" s="3">
        <v>10</v>
      </c>
    </row>
    <row r="251" spans="1:12" x14ac:dyDescent="0.25">
      <c r="A251" s="44">
        <f t="shared" si="4"/>
        <v>0</v>
      </c>
      <c r="B251" s="50" t="str">
        <f>VLOOKUP(K251,Lookup!$A$1:$D$34,4,FALSE)</f>
        <v>zf_close</v>
      </c>
      <c r="C251" s="9">
        <v>43070</v>
      </c>
      <c r="D251" s="3">
        <v>2017</v>
      </c>
      <c r="E251" s="3">
        <v>12</v>
      </c>
      <c r="F251" s="3" t="s">
        <v>31</v>
      </c>
      <c r="G251" s="3" t="s">
        <v>58</v>
      </c>
      <c r="H251">
        <v>1</v>
      </c>
      <c r="I251" s="3">
        <v>1</v>
      </c>
      <c r="J251" s="3" t="s">
        <v>15</v>
      </c>
      <c r="K251" s="3" t="s">
        <v>9</v>
      </c>
      <c r="L251" s="3">
        <v>500</v>
      </c>
    </row>
    <row r="252" spans="1:12" x14ac:dyDescent="0.25">
      <c r="A252" s="44">
        <f t="shared" si="4"/>
        <v>1</v>
      </c>
      <c r="B252" s="50" t="str">
        <f>VLOOKUP(K252,Lookup!$A$1:$D$34,4,FALSE)</f>
        <v>zf_close</v>
      </c>
      <c r="C252" s="9">
        <v>43101</v>
      </c>
      <c r="D252" s="3">
        <v>2018</v>
      </c>
      <c r="E252" s="3">
        <v>1</v>
      </c>
      <c r="F252" s="3" t="s">
        <v>31</v>
      </c>
      <c r="G252" s="3">
        <v>1</v>
      </c>
      <c r="H252">
        <v>1</v>
      </c>
      <c r="I252" s="3">
        <v>1</v>
      </c>
      <c r="J252" s="3" t="s">
        <v>8</v>
      </c>
      <c r="K252" s="3" t="s">
        <v>9</v>
      </c>
      <c r="L252" s="3">
        <v>2</v>
      </c>
    </row>
    <row r="253" spans="1:12" x14ac:dyDescent="0.25">
      <c r="A253" s="44">
        <f t="shared" si="4"/>
        <v>1</v>
      </c>
      <c r="B253" s="50" t="str">
        <f>VLOOKUP(K253,Lookup!$A$1:$D$34,4,FALSE)</f>
        <v>za_re-measure_no_migr</v>
      </c>
      <c r="C253" s="9">
        <v>43101</v>
      </c>
      <c r="D253" s="3">
        <v>2018</v>
      </c>
      <c r="E253" s="3">
        <v>1</v>
      </c>
      <c r="F253" s="3" t="s">
        <v>31</v>
      </c>
      <c r="G253" s="3">
        <v>1</v>
      </c>
      <c r="H253">
        <v>1</v>
      </c>
      <c r="I253" s="3">
        <v>1</v>
      </c>
      <c r="J253" s="3" t="s">
        <v>8</v>
      </c>
      <c r="K253" s="3" t="s">
        <v>11</v>
      </c>
      <c r="L253" s="3">
        <v>-8</v>
      </c>
    </row>
    <row r="254" spans="1:12" x14ac:dyDescent="0.25">
      <c r="A254" s="44">
        <f t="shared" si="4"/>
        <v>1</v>
      </c>
      <c r="B254" s="50" t="str">
        <f>VLOOKUP(K254,Lookup!$A$1:$D$34,4,FALSE)</f>
        <v>a_open</v>
      </c>
      <c r="C254" s="9">
        <v>43101</v>
      </c>
      <c r="D254" s="3">
        <v>2018</v>
      </c>
      <c r="E254" s="3">
        <v>1</v>
      </c>
      <c r="F254" s="3" t="s">
        <v>31</v>
      </c>
      <c r="G254" s="3">
        <v>1</v>
      </c>
      <c r="H254">
        <v>1</v>
      </c>
      <c r="I254" s="3">
        <v>1</v>
      </c>
      <c r="J254" s="3" t="s">
        <v>8</v>
      </c>
      <c r="K254" s="3" t="s">
        <v>14</v>
      </c>
      <c r="L254" s="3">
        <v>10</v>
      </c>
    </row>
    <row r="255" spans="1:12" x14ac:dyDescent="0.25">
      <c r="A255" s="44">
        <f t="shared" si="4"/>
        <v>1</v>
      </c>
      <c r="B255" s="50" t="str">
        <f>VLOOKUP(K255,Lookup!$A$1:$D$34,4,FALSE)</f>
        <v>zf_close</v>
      </c>
      <c r="C255" s="9">
        <v>43101</v>
      </c>
      <c r="D255" s="3">
        <v>2018</v>
      </c>
      <c r="E255" s="3">
        <v>1</v>
      </c>
      <c r="F255" s="3" t="s">
        <v>31</v>
      </c>
      <c r="G255" s="3">
        <v>1</v>
      </c>
      <c r="H255">
        <v>1</v>
      </c>
      <c r="I255" s="3">
        <v>1</v>
      </c>
      <c r="J255" s="3" t="s">
        <v>15</v>
      </c>
      <c r="K255" s="3" t="s">
        <v>9</v>
      </c>
      <c r="L255" s="3">
        <v>0.01</v>
      </c>
    </row>
    <row r="256" spans="1:12" x14ac:dyDescent="0.25">
      <c r="A256" s="44">
        <f t="shared" si="4"/>
        <v>1</v>
      </c>
      <c r="B256" s="50" t="str">
        <f>VLOOKUP(K256,Lookup!$A$1:$D$34,4,FALSE)</f>
        <v>y_repay_term</v>
      </c>
      <c r="C256" s="9">
        <v>43101</v>
      </c>
      <c r="D256" s="3">
        <v>2018</v>
      </c>
      <c r="E256" s="3">
        <v>1</v>
      </c>
      <c r="F256" s="3" t="s">
        <v>31</v>
      </c>
      <c r="G256" s="3">
        <v>1</v>
      </c>
      <c r="H256">
        <v>1</v>
      </c>
      <c r="I256" s="3">
        <v>1</v>
      </c>
      <c r="J256" s="3" t="s">
        <v>15</v>
      </c>
      <c r="K256" s="3" t="s">
        <v>21</v>
      </c>
      <c r="L256" s="3">
        <v>-499.99</v>
      </c>
    </row>
    <row r="257" spans="1:12" x14ac:dyDescent="0.25">
      <c r="A257" s="44">
        <f t="shared" si="4"/>
        <v>1</v>
      </c>
      <c r="B257" s="50" t="str">
        <f>VLOOKUP(K257,Lookup!$A$1:$D$34,4,FALSE)</f>
        <v>a_open</v>
      </c>
      <c r="C257" s="9">
        <v>43101</v>
      </c>
      <c r="D257" s="3">
        <v>2018</v>
      </c>
      <c r="E257" s="3">
        <v>1</v>
      </c>
      <c r="F257" s="3" t="s">
        <v>31</v>
      </c>
      <c r="G257" s="3">
        <v>1</v>
      </c>
      <c r="H257">
        <v>1</v>
      </c>
      <c r="I257" s="3">
        <v>1</v>
      </c>
      <c r="J257" s="3" t="s">
        <v>15</v>
      </c>
      <c r="K257" s="3" t="s">
        <v>14</v>
      </c>
      <c r="L257" s="3">
        <v>500</v>
      </c>
    </row>
    <row r="258" spans="1:12" x14ac:dyDescent="0.25">
      <c r="A258" s="44">
        <f t="shared" si="4"/>
        <v>1</v>
      </c>
      <c r="B258" s="50" t="str">
        <f>VLOOKUP(K258,Lookup!$A$1:$D$34,4,FALSE)</f>
        <v>zf_close</v>
      </c>
      <c r="C258" s="9">
        <v>43132</v>
      </c>
      <c r="D258" s="3">
        <v>2018</v>
      </c>
      <c r="E258" s="3">
        <v>2</v>
      </c>
      <c r="F258" s="3" t="s">
        <v>31</v>
      </c>
      <c r="G258" s="3">
        <v>1</v>
      </c>
      <c r="H258">
        <v>1</v>
      </c>
      <c r="I258" s="3">
        <v>1</v>
      </c>
      <c r="J258" s="3" t="s">
        <v>8</v>
      </c>
      <c r="K258" s="3" t="s">
        <v>9</v>
      </c>
      <c r="L258" s="3">
        <v>2</v>
      </c>
    </row>
    <row r="259" spans="1:12" x14ac:dyDescent="0.25">
      <c r="A259" s="44">
        <f t="shared" si="4"/>
        <v>1</v>
      </c>
      <c r="B259" s="50" t="str">
        <f>VLOOKUP(K259,Lookup!$A$1:$D$34,4,FALSE)</f>
        <v>a_open</v>
      </c>
      <c r="C259" s="9">
        <v>43132</v>
      </c>
      <c r="D259" s="3">
        <v>2018</v>
      </c>
      <c r="E259" s="3">
        <v>2</v>
      </c>
      <c r="F259" s="3" t="s">
        <v>31</v>
      </c>
      <c r="G259" s="3">
        <v>1</v>
      </c>
      <c r="H259">
        <v>1</v>
      </c>
      <c r="I259" s="3">
        <v>1</v>
      </c>
      <c r="J259" s="3" t="s">
        <v>8</v>
      </c>
      <c r="K259" s="3" t="s">
        <v>14</v>
      </c>
      <c r="L259" s="3">
        <v>2</v>
      </c>
    </row>
    <row r="260" spans="1:12" x14ac:dyDescent="0.25">
      <c r="A260" s="44">
        <f t="shared" si="4"/>
        <v>1</v>
      </c>
      <c r="B260" s="50" t="str">
        <f>VLOOKUP(K260,Lookup!$A$1:$D$34,4,FALSE)</f>
        <v>zf_close</v>
      </c>
      <c r="C260" s="9">
        <v>43132</v>
      </c>
      <c r="D260" s="3">
        <v>2018</v>
      </c>
      <c r="E260" s="3">
        <v>2</v>
      </c>
      <c r="F260" s="3" t="s">
        <v>31</v>
      </c>
      <c r="G260" s="3">
        <v>1</v>
      </c>
      <c r="H260">
        <v>1</v>
      </c>
      <c r="I260" s="3">
        <v>1</v>
      </c>
      <c r="J260" s="3" t="s">
        <v>15</v>
      </c>
      <c r="K260" s="3" t="s">
        <v>9</v>
      </c>
      <c r="L260" s="3">
        <v>0.01</v>
      </c>
    </row>
    <row r="261" spans="1:12" x14ac:dyDescent="0.25">
      <c r="A261" s="44">
        <f t="shared" si="4"/>
        <v>1</v>
      </c>
      <c r="B261" s="50" t="str">
        <f>VLOOKUP(K261,Lookup!$A$1:$D$34,4,FALSE)</f>
        <v>a_open</v>
      </c>
      <c r="C261" s="9">
        <v>43132</v>
      </c>
      <c r="D261" s="3">
        <v>2018</v>
      </c>
      <c r="E261" s="3">
        <v>2</v>
      </c>
      <c r="F261" s="3" t="s">
        <v>31</v>
      </c>
      <c r="G261" s="3">
        <v>1</v>
      </c>
      <c r="H261">
        <v>1</v>
      </c>
      <c r="I261" s="3">
        <v>1</v>
      </c>
      <c r="J261" s="3" t="s">
        <v>15</v>
      </c>
      <c r="K261" s="3" t="s">
        <v>14</v>
      </c>
      <c r="L261" s="3">
        <v>0.01</v>
      </c>
    </row>
    <row r="262" spans="1:12" x14ac:dyDescent="0.25">
      <c r="A262" s="44">
        <f t="shared" si="4"/>
        <v>1</v>
      </c>
      <c r="B262" s="50" t="str">
        <f>VLOOKUP(K262,Lookup!$A$1:$D$34,4,FALSE)</f>
        <v>zf_close</v>
      </c>
      <c r="C262" s="9">
        <v>43160</v>
      </c>
      <c r="D262" s="3">
        <v>2018</v>
      </c>
      <c r="E262" s="3">
        <v>3</v>
      </c>
      <c r="F262" s="3" t="s">
        <v>31</v>
      </c>
      <c r="G262" s="3">
        <v>1</v>
      </c>
      <c r="H262">
        <v>1</v>
      </c>
      <c r="I262" s="3">
        <v>1</v>
      </c>
      <c r="J262" s="3" t="s">
        <v>8</v>
      </c>
      <c r="K262" s="3" t="s">
        <v>9</v>
      </c>
      <c r="L262" s="3">
        <v>1</v>
      </c>
    </row>
    <row r="263" spans="1:12" x14ac:dyDescent="0.25">
      <c r="A263" s="44">
        <f t="shared" si="4"/>
        <v>1</v>
      </c>
      <c r="B263" s="50" t="str">
        <f>VLOOKUP(K263,Lookup!$A$1:$D$34,4,FALSE)</f>
        <v>zc_model_change</v>
      </c>
      <c r="C263" s="9">
        <v>43160</v>
      </c>
      <c r="D263" s="3">
        <v>2018</v>
      </c>
      <c r="E263" s="3">
        <v>3</v>
      </c>
      <c r="F263" s="3" t="s">
        <v>31</v>
      </c>
      <c r="G263" s="3">
        <v>1</v>
      </c>
      <c r="H263">
        <v>1</v>
      </c>
      <c r="I263" s="3">
        <v>1</v>
      </c>
      <c r="J263" s="3" t="s">
        <v>8</v>
      </c>
      <c r="K263" s="3" t="s">
        <v>25</v>
      </c>
      <c r="L263" s="3">
        <v>2</v>
      </c>
    </row>
    <row r="264" spans="1:12" x14ac:dyDescent="0.25">
      <c r="A264" s="44">
        <f t="shared" ref="A264:A327" si="5">IF(OR(AND(C264=$A$1,J264="op"),AND(C264=$A$2,J264="cl"),AND(C264&gt;=$A$1,C264&lt;=$A$2,J264&lt;&gt;"op",J264&lt;&gt;"cl")),1,0)</f>
        <v>1</v>
      </c>
      <c r="B264" s="50" t="str">
        <f>VLOOKUP(K264,Lookup!$A$1:$D$34,4,FALSE)</f>
        <v>za_re-measure_no_migr</v>
      </c>
      <c r="C264" s="9">
        <v>43160</v>
      </c>
      <c r="D264" s="3">
        <v>2018</v>
      </c>
      <c r="E264" s="3">
        <v>3</v>
      </c>
      <c r="F264" s="3" t="s">
        <v>31</v>
      </c>
      <c r="G264" s="3">
        <v>1</v>
      </c>
      <c r="H264">
        <v>1</v>
      </c>
      <c r="I264" s="3">
        <v>1</v>
      </c>
      <c r="J264" s="3" t="s">
        <v>8</v>
      </c>
      <c r="K264" s="3" t="s">
        <v>11</v>
      </c>
      <c r="L264" s="3">
        <v>-3</v>
      </c>
    </row>
    <row r="265" spans="1:12" x14ac:dyDescent="0.25">
      <c r="A265" s="44">
        <f t="shared" si="5"/>
        <v>1</v>
      </c>
      <c r="B265" s="50" t="str">
        <f>VLOOKUP(K265,Lookup!$A$1:$D$34,4,FALSE)</f>
        <v>a_open</v>
      </c>
      <c r="C265" s="9">
        <v>43160</v>
      </c>
      <c r="D265" s="3">
        <v>2018</v>
      </c>
      <c r="E265" s="3">
        <v>3</v>
      </c>
      <c r="F265" s="3" t="s">
        <v>31</v>
      </c>
      <c r="G265" s="3">
        <v>1</v>
      </c>
      <c r="H265">
        <v>1</v>
      </c>
      <c r="I265" s="3">
        <v>1</v>
      </c>
      <c r="J265" s="3" t="s">
        <v>8</v>
      </c>
      <c r="K265" s="3" t="s">
        <v>14</v>
      </c>
      <c r="L265" s="3">
        <v>2</v>
      </c>
    </row>
    <row r="266" spans="1:12" x14ac:dyDescent="0.25">
      <c r="A266" s="44">
        <f t="shared" si="5"/>
        <v>1</v>
      </c>
      <c r="B266" s="50" t="str">
        <f>VLOOKUP(K266,Lookup!$A$1:$D$34,4,FALSE)</f>
        <v>zf_close</v>
      </c>
      <c r="C266" s="9">
        <v>43160</v>
      </c>
      <c r="D266" s="3">
        <v>2018</v>
      </c>
      <c r="E266" s="3">
        <v>3</v>
      </c>
      <c r="F266" s="3" t="s">
        <v>31</v>
      </c>
      <c r="G266" s="3">
        <v>1</v>
      </c>
      <c r="H266">
        <v>1</v>
      </c>
      <c r="I266" s="3">
        <v>1</v>
      </c>
      <c r="J266" s="3" t="s">
        <v>15</v>
      </c>
      <c r="K266" s="3" t="s">
        <v>9</v>
      </c>
      <c r="L266" s="3">
        <v>5</v>
      </c>
    </row>
    <row r="267" spans="1:12" x14ac:dyDescent="0.25">
      <c r="A267" s="44">
        <f t="shared" si="5"/>
        <v>1</v>
      </c>
      <c r="B267" s="50" t="str">
        <f>VLOOKUP(K267,Lookup!$A$1:$D$34,4,FALSE)</f>
        <v>w_drawdown_term</v>
      </c>
      <c r="C267" s="9">
        <v>43160</v>
      </c>
      <c r="D267" s="3">
        <v>2018</v>
      </c>
      <c r="E267" s="3">
        <v>3</v>
      </c>
      <c r="F267" s="3" t="s">
        <v>31</v>
      </c>
      <c r="G267" s="3">
        <v>1</v>
      </c>
      <c r="H267">
        <v>1</v>
      </c>
      <c r="I267" s="3">
        <v>1</v>
      </c>
      <c r="J267" s="3" t="s">
        <v>15</v>
      </c>
      <c r="K267" s="3" t="s">
        <v>32</v>
      </c>
      <c r="L267" s="3">
        <v>4.99</v>
      </c>
    </row>
    <row r="268" spans="1:12" x14ac:dyDescent="0.25">
      <c r="A268" s="44">
        <f t="shared" si="5"/>
        <v>1</v>
      </c>
      <c r="B268" s="50" t="str">
        <f>VLOOKUP(K268,Lookup!$A$1:$D$34,4,FALSE)</f>
        <v>a_open</v>
      </c>
      <c r="C268" s="9">
        <v>43160</v>
      </c>
      <c r="D268" s="3">
        <v>2018</v>
      </c>
      <c r="E268" s="3">
        <v>3</v>
      </c>
      <c r="F268" s="3" t="s">
        <v>31</v>
      </c>
      <c r="G268" s="3">
        <v>1</v>
      </c>
      <c r="H268">
        <v>1</v>
      </c>
      <c r="I268" s="3">
        <v>1</v>
      </c>
      <c r="J268" s="3" t="s">
        <v>15</v>
      </c>
      <c r="K268" s="3" t="s">
        <v>14</v>
      </c>
      <c r="L268" s="3">
        <v>0.01</v>
      </c>
    </row>
    <row r="269" spans="1:12" x14ac:dyDescent="0.25">
      <c r="A269" s="44">
        <f t="shared" si="5"/>
        <v>1</v>
      </c>
      <c r="B269" s="50" t="str">
        <f>VLOOKUP(K269,Lookup!$A$1:$D$34,4,FALSE)</f>
        <v>za_re-measure_no_migr</v>
      </c>
      <c r="C269" s="9">
        <v>43191</v>
      </c>
      <c r="D269" s="3">
        <v>2018</v>
      </c>
      <c r="E269" s="3">
        <v>4</v>
      </c>
      <c r="F269" s="3" t="s">
        <v>31</v>
      </c>
      <c r="G269" s="3">
        <v>1</v>
      </c>
      <c r="H269">
        <v>1</v>
      </c>
      <c r="I269" s="3">
        <v>1</v>
      </c>
      <c r="J269" s="3" t="s">
        <v>8</v>
      </c>
      <c r="K269" s="3" t="s">
        <v>11</v>
      </c>
      <c r="L269" s="3">
        <v>-1</v>
      </c>
    </row>
    <row r="270" spans="1:12" x14ac:dyDescent="0.25">
      <c r="A270" s="44">
        <f t="shared" si="5"/>
        <v>1</v>
      </c>
      <c r="B270" s="50" t="str">
        <f>VLOOKUP(K270,Lookup!$A$1:$D$34,4,FALSE)</f>
        <v>a_open</v>
      </c>
      <c r="C270" s="9">
        <v>43191</v>
      </c>
      <c r="D270" s="3">
        <v>2018</v>
      </c>
      <c r="E270" s="3">
        <v>4</v>
      </c>
      <c r="F270" s="3" t="s">
        <v>31</v>
      </c>
      <c r="G270" s="3">
        <v>1</v>
      </c>
      <c r="H270">
        <v>1</v>
      </c>
      <c r="I270" s="3">
        <v>1</v>
      </c>
      <c r="J270" s="3" t="s">
        <v>8</v>
      </c>
      <c r="K270" s="3" t="s">
        <v>14</v>
      </c>
      <c r="L270" s="3">
        <v>1</v>
      </c>
    </row>
    <row r="271" spans="1:12" x14ac:dyDescent="0.25">
      <c r="A271" s="44">
        <f t="shared" si="5"/>
        <v>1</v>
      </c>
      <c r="B271" s="50" t="str">
        <f>VLOOKUP(K271,Lookup!$A$1:$D$34,4,FALSE)</f>
        <v>z_repay_term_final</v>
      </c>
      <c r="C271" s="9">
        <v>43191</v>
      </c>
      <c r="D271" s="3">
        <v>2018</v>
      </c>
      <c r="E271" s="3">
        <v>4</v>
      </c>
      <c r="F271" s="3" t="s">
        <v>31</v>
      </c>
      <c r="G271" s="3">
        <v>1</v>
      </c>
      <c r="H271">
        <v>1</v>
      </c>
      <c r="I271" s="3">
        <v>1</v>
      </c>
      <c r="J271" s="3" t="s">
        <v>15</v>
      </c>
      <c r="K271" s="3" t="s">
        <v>17</v>
      </c>
      <c r="L271" s="3">
        <v>-5</v>
      </c>
    </row>
    <row r="272" spans="1:12" x14ac:dyDescent="0.25">
      <c r="A272" s="44">
        <f t="shared" si="5"/>
        <v>1</v>
      </c>
      <c r="B272" s="50" t="str">
        <f>VLOOKUP(K272,Lookup!$A$1:$D$34,4,FALSE)</f>
        <v>a_open</v>
      </c>
      <c r="C272" s="9">
        <v>43191</v>
      </c>
      <c r="D272" s="3">
        <v>2018</v>
      </c>
      <c r="E272" s="3">
        <v>4</v>
      </c>
      <c r="F272" s="3" t="s">
        <v>31</v>
      </c>
      <c r="G272" s="3">
        <v>1</v>
      </c>
      <c r="H272">
        <v>1</v>
      </c>
      <c r="I272" s="3">
        <v>1</v>
      </c>
      <c r="J272" s="3" t="s">
        <v>15</v>
      </c>
      <c r="K272" s="3" t="s">
        <v>14</v>
      </c>
      <c r="L272" s="3">
        <v>5</v>
      </c>
    </row>
    <row r="273" spans="1:12" x14ac:dyDescent="0.25">
      <c r="A273" s="44">
        <f t="shared" si="5"/>
        <v>0</v>
      </c>
      <c r="B273" s="50" t="str">
        <f>VLOOKUP(K273,Lookup!$A$1:$D$34,4,FALSE)</f>
        <v>zf_close</v>
      </c>
      <c r="C273" s="9">
        <v>43070</v>
      </c>
      <c r="D273" s="3">
        <v>2017</v>
      </c>
      <c r="E273" s="3">
        <v>12</v>
      </c>
      <c r="F273" s="3" t="s">
        <v>33</v>
      </c>
      <c r="G273" s="3" t="s">
        <v>58</v>
      </c>
      <c r="H273">
        <v>3</v>
      </c>
      <c r="I273" s="3">
        <v>3</v>
      </c>
      <c r="J273" s="3" t="s">
        <v>8</v>
      </c>
      <c r="K273" s="3" t="s">
        <v>9</v>
      </c>
      <c r="L273" s="3">
        <v>-600</v>
      </c>
    </row>
    <row r="274" spans="1:12" x14ac:dyDescent="0.25">
      <c r="A274" s="44">
        <f t="shared" si="5"/>
        <v>0</v>
      </c>
      <c r="B274" s="50" t="str">
        <f>VLOOKUP(K274,Lookup!$A$1:$D$34,4,FALSE)</f>
        <v>zf_close</v>
      </c>
      <c r="C274" s="9">
        <v>43070</v>
      </c>
      <c r="D274" s="3">
        <v>2017</v>
      </c>
      <c r="E274" s="3">
        <v>12</v>
      </c>
      <c r="F274" s="3" t="s">
        <v>33</v>
      </c>
      <c r="G274" s="3" t="s">
        <v>58</v>
      </c>
      <c r="H274">
        <v>3</v>
      </c>
      <c r="I274" s="3">
        <v>3</v>
      </c>
      <c r="J274" s="3" t="s">
        <v>15</v>
      </c>
      <c r="K274" s="3" t="s">
        <v>9</v>
      </c>
      <c r="L274" s="3">
        <v>475</v>
      </c>
    </row>
    <row r="275" spans="1:12" x14ac:dyDescent="0.25">
      <c r="A275" s="44">
        <f t="shared" si="5"/>
        <v>1</v>
      </c>
      <c r="B275" s="50" t="str">
        <f>VLOOKUP(K275,Lookup!$A$1:$D$34,4,FALSE)</f>
        <v>zf_close</v>
      </c>
      <c r="C275" s="9">
        <v>43101</v>
      </c>
      <c r="D275" s="3">
        <v>2018</v>
      </c>
      <c r="E275" s="3">
        <v>1</v>
      </c>
      <c r="F275" s="3" t="s">
        <v>33</v>
      </c>
      <c r="G275" s="3">
        <v>3</v>
      </c>
      <c r="H275">
        <v>3</v>
      </c>
      <c r="I275" s="3">
        <v>3</v>
      </c>
      <c r="J275" s="3" t="s">
        <v>8</v>
      </c>
      <c r="K275" s="3" t="s">
        <v>9</v>
      </c>
      <c r="L275" s="3">
        <v>-590</v>
      </c>
    </row>
    <row r="276" spans="1:12" x14ac:dyDescent="0.25">
      <c r="A276" s="44">
        <f t="shared" si="5"/>
        <v>1</v>
      </c>
      <c r="B276" s="50" t="str">
        <f>VLOOKUP(K276,Lookup!$A$1:$D$34,4,FALSE)</f>
        <v>v_drawdown_rvlv</v>
      </c>
      <c r="C276" s="9">
        <v>43101</v>
      </c>
      <c r="D276" s="3">
        <v>2018</v>
      </c>
      <c r="E276" s="3">
        <v>1</v>
      </c>
      <c r="F276" s="3" t="s">
        <v>33</v>
      </c>
      <c r="G276" s="3">
        <v>3</v>
      </c>
      <c r="H276">
        <v>3</v>
      </c>
      <c r="I276" s="3">
        <v>3</v>
      </c>
      <c r="J276" s="3" t="s">
        <v>8</v>
      </c>
      <c r="K276" s="3" t="s">
        <v>24</v>
      </c>
      <c r="L276" s="3">
        <v>-25</v>
      </c>
    </row>
    <row r="277" spans="1:12" x14ac:dyDescent="0.25">
      <c r="A277" s="44">
        <f t="shared" si="5"/>
        <v>1</v>
      </c>
      <c r="B277" s="50" t="str">
        <f>VLOOKUP(K277,Lookup!$A$1:$D$34,4,FALSE)</f>
        <v>za_re-measure_no_migr</v>
      </c>
      <c r="C277" s="9">
        <v>43101</v>
      </c>
      <c r="D277" s="3">
        <v>2018</v>
      </c>
      <c r="E277" s="3">
        <v>1</v>
      </c>
      <c r="F277" s="3" t="s">
        <v>33</v>
      </c>
      <c r="G277" s="3">
        <v>3</v>
      </c>
      <c r="H277">
        <v>3</v>
      </c>
      <c r="I277" s="3">
        <v>3</v>
      </c>
      <c r="J277" s="3" t="s">
        <v>8</v>
      </c>
      <c r="K277" s="3" t="s">
        <v>11</v>
      </c>
      <c r="L277" s="3">
        <v>35</v>
      </c>
    </row>
    <row r="278" spans="1:12" x14ac:dyDescent="0.25">
      <c r="A278" s="44">
        <f t="shared" si="5"/>
        <v>1</v>
      </c>
      <c r="B278" s="50" t="str">
        <f>VLOOKUP(K278,Lookup!$A$1:$D$34,4,FALSE)</f>
        <v>a_open</v>
      </c>
      <c r="C278" s="9">
        <v>43101</v>
      </c>
      <c r="D278" s="3">
        <v>2018</v>
      </c>
      <c r="E278" s="3">
        <v>1</v>
      </c>
      <c r="F278" s="3" t="s">
        <v>33</v>
      </c>
      <c r="G278" s="3">
        <v>3</v>
      </c>
      <c r="H278">
        <v>3</v>
      </c>
      <c r="I278" s="3">
        <v>3</v>
      </c>
      <c r="J278" s="3" t="s">
        <v>8</v>
      </c>
      <c r="K278" s="3" t="s">
        <v>14</v>
      </c>
      <c r="L278" s="3">
        <v>-600</v>
      </c>
    </row>
    <row r="279" spans="1:12" x14ac:dyDescent="0.25">
      <c r="A279" s="44">
        <f t="shared" si="5"/>
        <v>1</v>
      </c>
      <c r="B279" s="50" t="str">
        <f>VLOOKUP(K279,Lookup!$A$1:$D$34,4,FALSE)</f>
        <v>zf_close</v>
      </c>
      <c r="C279" s="9">
        <v>43101</v>
      </c>
      <c r="D279" s="3">
        <v>2018</v>
      </c>
      <c r="E279" s="3">
        <v>1</v>
      </c>
      <c r="F279" s="3" t="s">
        <v>33</v>
      </c>
      <c r="G279" s="3">
        <v>3</v>
      </c>
      <c r="H279">
        <v>3</v>
      </c>
      <c r="I279" s="3">
        <v>3</v>
      </c>
      <c r="J279" s="3" t="s">
        <v>15</v>
      </c>
      <c r="K279" s="3" t="s">
        <v>9</v>
      </c>
      <c r="L279" s="3">
        <v>500</v>
      </c>
    </row>
    <row r="280" spans="1:12" x14ac:dyDescent="0.25">
      <c r="A280" s="44">
        <f t="shared" si="5"/>
        <v>1</v>
      </c>
      <c r="B280" s="50" t="str">
        <f>VLOOKUP(K280,Lookup!$A$1:$D$34,4,FALSE)</f>
        <v>v_drawdown_rvlv</v>
      </c>
      <c r="C280" s="9">
        <v>43101</v>
      </c>
      <c r="D280" s="3">
        <v>2018</v>
      </c>
      <c r="E280" s="3">
        <v>1</v>
      </c>
      <c r="F280" s="3" t="s">
        <v>33</v>
      </c>
      <c r="G280" s="3">
        <v>3</v>
      </c>
      <c r="H280">
        <v>3</v>
      </c>
      <c r="I280" s="3">
        <v>3</v>
      </c>
      <c r="J280" s="3" t="s">
        <v>15</v>
      </c>
      <c r="K280" s="3" t="s">
        <v>24</v>
      </c>
      <c r="L280" s="3">
        <v>25</v>
      </c>
    </row>
    <row r="281" spans="1:12" x14ac:dyDescent="0.25">
      <c r="A281" s="44">
        <f t="shared" si="5"/>
        <v>1</v>
      </c>
      <c r="B281" s="50" t="str">
        <f>VLOOKUP(K281,Lookup!$A$1:$D$34,4,FALSE)</f>
        <v>a_open</v>
      </c>
      <c r="C281" s="9">
        <v>43101</v>
      </c>
      <c r="D281" s="3">
        <v>2018</v>
      </c>
      <c r="E281" s="3">
        <v>1</v>
      </c>
      <c r="F281" s="3" t="s">
        <v>33</v>
      </c>
      <c r="G281" s="3">
        <v>3</v>
      </c>
      <c r="H281">
        <v>3</v>
      </c>
      <c r="I281" s="3">
        <v>3</v>
      </c>
      <c r="J281" s="3" t="s">
        <v>15</v>
      </c>
      <c r="K281" s="3" t="s">
        <v>14</v>
      </c>
      <c r="L281" s="3">
        <v>475</v>
      </c>
    </row>
    <row r="282" spans="1:12" x14ac:dyDescent="0.25">
      <c r="A282" s="44">
        <f t="shared" si="5"/>
        <v>1</v>
      </c>
      <c r="B282" s="50" t="str">
        <f>VLOOKUP(K282,Lookup!$A$1:$D$34,4,FALSE)</f>
        <v>zf_close</v>
      </c>
      <c r="C282" s="9">
        <v>43132</v>
      </c>
      <c r="D282" s="3">
        <v>2018</v>
      </c>
      <c r="E282" s="3">
        <v>2</v>
      </c>
      <c r="F282" s="3" t="s">
        <v>33</v>
      </c>
      <c r="G282" s="3">
        <v>3</v>
      </c>
      <c r="H282">
        <v>3</v>
      </c>
      <c r="I282" s="3">
        <v>3</v>
      </c>
      <c r="J282" s="3" t="s">
        <v>8</v>
      </c>
      <c r="K282" s="3" t="s">
        <v>9</v>
      </c>
      <c r="L282" s="3">
        <v>-580</v>
      </c>
    </row>
    <row r="283" spans="1:12" x14ac:dyDescent="0.25">
      <c r="A283" s="44">
        <f t="shared" si="5"/>
        <v>1</v>
      </c>
      <c r="B283" s="50" t="str">
        <f>VLOOKUP(K283,Lookup!$A$1:$D$34,4,FALSE)</f>
        <v>v_drawdown_rvlv</v>
      </c>
      <c r="C283" s="9">
        <v>43132</v>
      </c>
      <c r="D283" s="3">
        <v>2018</v>
      </c>
      <c r="E283" s="3">
        <v>2</v>
      </c>
      <c r="F283" s="3" t="s">
        <v>33</v>
      </c>
      <c r="G283" s="3">
        <v>3</v>
      </c>
      <c r="H283">
        <v>3</v>
      </c>
      <c r="I283" s="3">
        <v>3</v>
      </c>
      <c r="J283" s="3" t="s">
        <v>8</v>
      </c>
      <c r="K283" s="3" t="s">
        <v>24</v>
      </c>
      <c r="L283" s="3">
        <v>25</v>
      </c>
    </row>
    <row r="284" spans="1:12" x14ac:dyDescent="0.25">
      <c r="A284" s="44">
        <f t="shared" si="5"/>
        <v>1</v>
      </c>
      <c r="B284" s="50" t="str">
        <f>VLOOKUP(K284,Lookup!$A$1:$D$34,4,FALSE)</f>
        <v>v_repay_rvlv</v>
      </c>
      <c r="C284" s="9">
        <v>43132</v>
      </c>
      <c r="D284" s="3">
        <v>2018</v>
      </c>
      <c r="E284" s="3">
        <v>2</v>
      </c>
      <c r="F284" s="3" t="s">
        <v>33</v>
      </c>
      <c r="G284" s="3">
        <v>3</v>
      </c>
      <c r="H284">
        <v>3</v>
      </c>
      <c r="I284" s="3">
        <v>3</v>
      </c>
      <c r="J284" s="3" t="s">
        <v>8</v>
      </c>
      <c r="K284" s="3" t="s">
        <v>10</v>
      </c>
      <c r="L284" s="3">
        <v>25</v>
      </c>
    </row>
    <row r="285" spans="1:12" x14ac:dyDescent="0.25">
      <c r="A285" s="44">
        <f t="shared" si="5"/>
        <v>1</v>
      </c>
      <c r="B285" s="50" t="str">
        <f>VLOOKUP(K285,Lookup!$A$1:$D$34,4,FALSE)</f>
        <v>za_re-measure_no_migr</v>
      </c>
      <c r="C285" s="9">
        <v>43132</v>
      </c>
      <c r="D285" s="3">
        <v>2018</v>
      </c>
      <c r="E285" s="3">
        <v>2</v>
      </c>
      <c r="F285" s="3" t="s">
        <v>33</v>
      </c>
      <c r="G285" s="3">
        <v>3</v>
      </c>
      <c r="H285">
        <v>3</v>
      </c>
      <c r="I285" s="3">
        <v>3</v>
      </c>
      <c r="J285" s="3" t="s">
        <v>8</v>
      </c>
      <c r="K285" s="3" t="s">
        <v>11</v>
      </c>
      <c r="L285" s="3">
        <v>-40</v>
      </c>
    </row>
    <row r="286" spans="1:12" x14ac:dyDescent="0.25">
      <c r="A286" s="44">
        <f t="shared" si="5"/>
        <v>1</v>
      </c>
      <c r="B286" s="50" t="str">
        <f>VLOOKUP(K286,Lookup!$A$1:$D$34,4,FALSE)</f>
        <v>a_open</v>
      </c>
      <c r="C286" s="9">
        <v>43132</v>
      </c>
      <c r="D286" s="3">
        <v>2018</v>
      </c>
      <c r="E286" s="3">
        <v>2</v>
      </c>
      <c r="F286" s="3" t="s">
        <v>33</v>
      </c>
      <c r="G286" s="3">
        <v>3</v>
      </c>
      <c r="H286">
        <v>3</v>
      </c>
      <c r="I286" s="3">
        <v>3</v>
      </c>
      <c r="J286" s="3" t="s">
        <v>8</v>
      </c>
      <c r="K286" s="3" t="s">
        <v>14</v>
      </c>
      <c r="L286" s="3">
        <v>-590</v>
      </c>
    </row>
    <row r="287" spans="1:12" x14ac:dyDescent="0.25">
      <c r="A287" s="44">
        <f t="shared" si="5"/>
        <v>1</v>
      </c>
      <c r="B287" s="50" t="str">
        <f>VLOOKUP(K287,Lookup!$A$1:$D$34,4,FALSE)</f>
        <v>zf_close</v>
      </c>
      <c r="C287" s="9">
        <v>43132</v>
      </c>
      <c r="D287" s="3">
        <v>2018</v>
      </c>
      <c r="E287" s="3">
        <v>2</v>
      </c>
      <c r="F287" s="3" t="s">
        <v>33</v>
      </c>
      <c r="G287" s="3">
        <v>3</v>
      </c>
      <c r="H287">
        <v>3</v>
      </c>
      <c r="I287" s="3">
        <v>3</v>
      </c>
      <c r="J287" s="3" t="s">
        <v>15</v>
      </c>
      <c r="K287" s="3" t="s">
        <v>9</v>
      </c>
      <c r="L287" s="3">
        <v>450</v>
      </c>
    </row>
    <row r="288" spans="1:12" x14ac:dyDescent="0.25">
      <c r="A288" s="44">
        <f t="shared" si="5"/>
        <v>1</v>
      </c>
      <c r="B288" s="50" t="str">
        <f>VLOOKUP(K288,Lookup!$A$1:$D$34,4,FALSE)</f>
        <v>v_drawdown_rvlv</v>
      </c>
      <c r="C288" s="9">
        <v>43132</v>
      </c>
      <c r="D288" s="3">
        <v>2018</v>
      </c>
      <c r="E288" s="3">
        <v>2</v>
      </c>
      <c r="F288" s="3" t="s">
        <v>33</v>
      </c>
      <c r="G288" s="3">
        <v>3</v>
      </c>
      <c r="H288">
        <v>3</v>
      </c>
      <c r="I288" s="3">
        <v>3</v>
      </c>
      <c r="J288" s="3" t="s">
        <v>15</v>
      </c>
      <c r="K288" s="3" t="s">
        <v>24</v>
      </c>
      <c r="L288" s="3">
        <v>-25</v>
      </c>
    </row>
    <row r="289" spans="1:12" x14ac:dyDescent="0.25">
      <c r="A289" s="44">
        <f t="shared" si="5"/>
        <v>1</v>
      </c>
      <c r="B289" s="50" t="str">
        <f>VLOOKUP(K289,Lookup!$A$1:$D$34,4,FALSE)</f>
        <v>v_repay_rvlv</v>
      </c>
      <c r="C289" s="9">
        <v>43132</v>
      </c>
      <c r="D289" s="3">
        <v>2018</v>
      </c>
      <c r="E289" s="3">
        <v>2</v>
      </c>
      <c r="F289" s="3" t="s">
        <v>33</v>
      </c>
      <c r="G289" s="3">
        <v>3</v>
      </c>
      <c r="H289">
        <v>3</v>
      </c>
      <c r="I289" s="3">
        <v>3</v>
      </c>
      <c r="J289" s="3" t="s">
        <v>15</v>
      </c>
      <c r="K289" s="3" t="s">
        <v>10</v>
      </c>
      <c r="L289" s="3">
        <v>-25</v>
      </c>
    </row>
    <row r="290" spans="1:12" x14ac:dyDescent="0.25">
      <c r="A290" s="44">
        <f t="shared" si="5"/>
        <v>1</v>
      </c>
      <c r="B290" s="50" t="str">
        <f>VLOOKUP(K290,Lookup!$A$1:$D$34,4,FALSE)</f>
        <v>a_open</v>
      </c>
      <c r="C290" s="9">
        <v>43132</v>
      </c>
      <c r="D290" s="3">
        <v>2018</v>
      </c>
      <c r="E290" s="3">
        <v>2</v>
      </c>
      <c r="F290" s="3" t="s">
        <v>33</v>
      </c>
      <c r="G290" s="3">
        <v>3</v>
      </c>
      <c r="H290">
        <v>3</v>
      </c>
      <c r="I290" s="3">
        <v>3</v>
      </c>
      <c r="J290" s="3" t="s">
        <v>15</v>
      </c>
      <c r="K290" s="3" t="s">
        <v>14</v>
      </c>
      <c r="L290" s="3">
        <v>500</v>
      </c>
    </row>
    <row r="291" spans="1:12" x14ac:dyDescent="0.25">
      <c r="A291" s="44">
        <f t="shared" si="5"/>
        <v>1</v>
      </c>
      <c r="B291" s="50" t="str">
        <f>VLOOKUP(K291,Lookup!$A$1:$D$34,4,FALSE)</f>
        <v>zf_close</v>
      </c>
      <c r="C291" s="9">
        <v>43160</v>
      </c>
      <c r="D291" s="3">
        <v>2018</v>
      </c>
      <c r="E291" s="3">
        <v>3</v>
      </c>
      <c r="F291" s="3" t="s">
        <v>33</v>
      </c>
      <c r="G291" s="3">
        <v>3</v>
      </c>
      <c r="H291">
        <v>3</v>
      </c>
      <c r="I291" s="3">
        <v>3</v>
      </c>
      <c r="J291" s="3" t="s">
        <v>8</v>
      </c>
      <c r="K291" s="3" t="s">
        <v>9</v>
      </c>
      <c r="L291" s="3">
        <v>-580</v>
      </c>
    </row>
    <row r="292" spans="1:12" x14ac:dyDescent="0.25">
      <c r="A292" s="44">
        <f t="shared" si="5"/>
        <v>1</v>
      </c>
      <c r="B292" s="50" t="str">
        <f>VLOOKUP(K292,Lookup!$A$1:$D$34,4,FALSE)</f>
        <v>zc_model_change</v>
      </c>
      <c r="C292" s="9">
        <v>43160</v>
      </c>
      <c r="D292" s="3">
        <v>2018</v>
      </c>
      <c r="E292" s="3">
        <v>3</v>
      </c>
      <c r="F292" s="3" t="s">
        <v>33</v>
      </c>
      <c r="G292" s="3">
        <v>3</v>
      </c>
      <c r="H292">
        <v>3</v>
      </c>
      <c r="I292" s="3">
        <v>3</v>
      </c>
      <c r="J292" s="3" t="s">
        <v>8</v>
      </c>
      <c r="K292" s="3" t="s">
        <v>25</v>
      </c>
      <c r="L292" s="3">
        <v>-230</v>
      </c>
    </row>
    <row r="293" spans="1:12" x14ac:dyDescent="0.25">
      <c r="A293" s="44">
        <f t="shared" si="5"/>
        <v>1</v>
      </c>
      <c r="B293" s="50" t="str">
        <f>VLOOKUP(K293,Lookup!$A$1:$D$34,4,FALSE)</f>
        <v>v_repay_rvlv</v>
      </c>
      <c r="C293" s="9">
        <v>43160</v>
      </c>
      <c r="D293" s="3">
        <v>2018</v>
      </c>
      <c r="E293" s="3">
        <v>3</v>
      </c>
      <c r="F293" s="3" t="s">
        <v>33</v>
      </c>
      <c r="G293" s="3">
        <v>3</v>
      </c>
      <c r="H293">
        <v>3</v>
      </c>
      <c r="I293" s="3">
        <v>3</v>
      </c>
      <c r="J293" s="3" t="s">
        <v>8</v>
      </c>
      <c r="K293" s="3" t="s">
        <v>10</v>
      </c>
      <c r="L293" s="3">
        <v>-10</v>
      </c>
    </row>
    <row r="294" spans="1:12" x14ac:dyDescent="0.25">
      <c r="A294" s="44">
        <f t="shared" si="5"/>
        <v>1</v>
      </c>
      <c r="B294" s="50" t="str">
        <f>VLOOKUP(K294,Lookup!$A$1:$D$34,4,FALSE)</f>
        <v>za_re-measure_no_migr</v>
      </c>
      <c r="C294" s="9">
        <v>43160</v>
      </c>
      <c r="D294" s="3">
        <v>2018</v>
      </c>
      <c r="E294" s="3">
        <v>3</v>
      </c>
      <c r="F294" s="3" t="s">
        <v>33</v>
      </c>
      <c r="G294" s="3">
        <v>3</v>
      </c>
      <c r="H294">
        <v>3</v>
      </c>
      <c r="I294" s="3">
        <v>3</v>
      </c>
      <c r="J294" s="3" t="s">
        <v>8</v>
      </c>
      <c r="K294" s="3" t="s">
        <v>11</v>
      </c>
      <c r="L294" s="3">
        <v>240</v>
      </c>
    </row>
    <row r="295" spans="1:12" x14ac:dyDescent="0.25">
      <c r="A295" s="44">
        <f t="shared" si="5"/>
        <v>1</v>
      </c>
      <c r="B295" s="50" t="str">
        <f>VLOOKUP(K295,Lookup!$A$1:$D$34,4,FALSE)</f>
        <v>a_open</v>
      </c>
      <c r="C295" s="9">
        <v>43160</v>
      </c>
      <c r="D295" s="3">
        <v>2018</v>
      </c>
      <c r="E295" s="3">
        <v>3</v>
      </c>
      <c r="F295" s="3" t="s">
        <v>33</v>
      </c>
      <c r="G295" s="3">
        <v>3</v>
      </c>
      <c r="H295">
        <v>3</v>
      </c>
      <c r="I295" s="3">
        <v>3</v>
      </c>
      <c r="J295" s="3" t="s">
        <v>8</v>
      </c>
      <c r="K295" s="3" t="s">
        <v>14</v>
      </c>
      <c r="L295" s="3">
        <v>-580</v>
      </c>
    </row>
    <row r="296" spans="1:12" x14ac:dyDescent="0.25">
      <c r="A296" s="44">
        <f t="shared" si="5"/>
        <v>1</v>
      </c>
      <c r="B296" s="50" t="str">
        <f>VLOOKUP(K296,Lookup!$A$1:$D$34,4,FALSE)</f>
        <v>zf_close</v>
      </c>
      <c r="C296" s="9">
        <v>43160</v>
      </c>
      <c r="D296" s="3">
        <v>2018</v>
      </c>
      <c r="E296" s="3">
        <v>3</v>
      </c>
      <c r="F296" s="3" t="s">
        <v>33</v>
      </c>
      <c r="G296" s="3">
        <v>3</v>
      </c>
      <c r="H296">
        <v>3</v>
      </c>
      <c r="I296" s="3">
        <v>3</v>
      </c>
      <c r="J296" s="3" t="s">
        <v>15</v>
      </c>
      <c r="K296" s="3" t="s">
        <v>9</v>
      </c>
      <c r="L296" s="3">
        <v>460</v>
      </c>
    </row>
    <row r="297" spans="1:12" x14ac:dyDescent="0.25">
      <c r="A297" s="44">
        <f t="shared" si="5"/>
        <v>1</v>
      </c>
      <c r="B297" s="50" t="str">
        <f>VLOOKUP(K297,Lookup!$A$1:$D$34,4,FALSE)</f>
        <v>v_repay_rvlv</v>
      </c>
      <c r="C297" s="9">
        <v>43160</v>
      </c>
      <c r="D297" s="3">
        <v>2018</v>
      </c>
      <c r="E297" s="3">
        <v>3</v>
      </c>
      <c r="F297" s="3" t="s">
        <v>33</v>
      </c>
      <c r="G297" s="3">
        <v>3</v>
      </c>
      <c r="H297">
        <v>3</v>
      </c>
      <c r="I297" s="3">
        <v>3</v>
      </c>
      <c r="J297" s="3" t="s">
        <v>15</v>
      </c>
      <c r="K297" s="3" t="s">
        <v>10</v>
      </c>
      <c r="L297" s="3">
        <v>10</v>
      </c>
    </row>
    <row r="298" spans="1:12" x14ac:dyDescent="0.25">
      <c r="A298" s="44">
        <f t="shared" si="5"/>
        <v>1</v>
      </c>
      <c r="B298" s="50" t="str">
        <f>VLOOKUP(K298,Lookup!$A$1:$D$34,4,FALSE)</f>
        <v>a_open</v>
      </c>
      <c r="C298" s="9">
        <v>43160</v>
      </c>
      <c r="D298" s="3">
        <v>2018</v>
      </c>
      <c r="E298" s="3">
        <v>3</v>
      </c>
      <c r="F298" s="3" t="s">
        <v>33</v>
      </c>
      <c r="G298" s="3">
        <v>3</v>
      </c>
      <c r="H298">
        <v>3</v>
      </c>
      <c r="I298" s="3">
        <v>3</v>
      </c>
      <c r="J298" s="3" t="s">
        <v>15</v>
      </c>
      <c r="K298" s="3" t="s">
        <v>14</v>
      </c>
      <c r="L298" s="3">
        <v>450</v>
      </c>
    </row>
    <row r="299" spans="1:12" x14ac:dyDescent="0.25">
      <c r="A299" s="44">
        <f t="shared" si="5"/>
        <v>1</v>
      </c>
      <c r="B299" s="50" t="str">
        <f>VLOOKUP(K299,Lookup!$A$1:$D$34,4,FALSE)</f>
        <v>v_repay_rvlv</v>
      </c>
      <c r="C299" s="9">
        <v>43191</v>
      </c>
      <c r="D299" s="3">
        <v>2018</v>
      </c>
      <c r="E299" s="3">
        <v>4</v>
      </c>
      <c r="F299" s="3" t="s">
        <v>33</v>
      </c>
      <c r="G299" s="3">
        <v>3</v>
      </c>
      <c r="H299">
        <v>3</v>
      </c>
      <c r="I299" s="3">
        <v>3</v>
      </c>
      <c r="J299" s="3" t="s">
        <v>8</v>
      </c>
      <c r="K299" s="3" t="s">
        <v>10</v>
      </c>
      <c r="L299" s="3">
        <v>460</v>
      </c>
    </row>
    <row r="300" spans="1:12" x14ac:dyDescent="0.25">
      <c r="A300" s="44">
        <f t="shared" si="5"/>
        <v>1</v>
      </c>
      <c r="B300" s="50" t="str">
        <f>VLOOKUP(K300,Lookup!$A$1:$D$34,4,FALSE)</f>
        <v>za_re-measure_no_migr</v>
      </c>
      <c r="C300" s="9">
        <v>43191</v>
      </c>
      <c r="D300" s="3">
        <v>2018</v>
      </c>
      <c r="E300" s="3">
        <v>4</v>
      </c>
      <c r="F300" s="3" t="s">
        <v>33</v>
      </c>
      <c r="G300" s="3">
        <v>3</v>
      </c>
      <c r="H300">
        <v>3</v>
      </c>
      <c r="I300" s="3">
        <v>3</v>
      </c>
      <c r="J300" s="3" t="s">
        <v>8</v>
      </c>
      <c r="K300" s="3" t="s">
        <v>11</v>
      </c>
      <c r="L300" s="3">
        <v>120</v>
      </c>
    </row>
    <row r="301" spans="1:12" x14ac:dyDescent="0.25">
      <c r="A301" s="44">
        <f t="shared" si="5"/>
        <v>1</v>
      </c>
      <c r="B301" s="50" t="str">
        <f>VLOOKUP(K301,Lookup!$A$1:$D$34,4,FALSE)</f>
        <v>a_open</v>
      </c>
      <c r="C301" s="9">
        <v>43191</v>
      </c>
      <c r="D301" s="3">
        <v>2018</v>
      </c>
      <c r="E301" s="3">
        <v>4</v>
      </c>
      <c r="F301" s="3" t="s">
        <v>33</v>
      </c>
      <c r="G301" s="3">
        <v>3</v>
      </c>
      <c r="H301">
        <v>3</v>
      </c>
      <c r="I301" s="3">
        <v>3</v>
      </c>
      <c r="J301" s="3" t="s">
        <v>8</v>
      </c>
      <c r="K301" s="3" t="s">
        <v>14</v>
      </c>
      <c r="L301" s="3">
        <v>-580</v>
      </c>
    </row>
    <row r="302" spans="1:12" x14ac:dyDescent="0.25">
      <c r="A302" s="44">
        <f t="shared" si="5"/>
        <v>1</v>
      </c>
      <c r="B302" s="50" t="str">
        <f>VLOOKUP(K302,Lookup!$A$1:$D$34,4,FALSE)</f>
        <v>v_repay_rvlv</v>
      </c>
      <c r="C302" s="9">
        <v>43191</v>
      </c>
      <c r="D302" s="3">
        <v>2018</v>
      </c>
      <c r="E302" s="3">
        <v>4</v>
      </c>
      <c r="F302" s="3" t="s">
        <v>33</v>
      </c>
      <c r="G302" s="3">
        <v>3</v>
      </c>
      <c r="H302">
        <v>3</v>
      </c>
      <c r="I302" s="3">
        <v>3</v>
      </c>
      <c r="J302" s="3" t="s">
        <v>15</v>
      </c>
      <c r="K302" s="3" t="s">
        <v>10</v>
      </c>
      <c r="L302" s="3">
        <v>-460</v>
      </c>
    </row>
    <row r="303" spans="1:12" x14ac:dyDescent="0.25">
      <c r="A303" s="44">
        <f t="shared" si="5"/>
        <v>1</v>
      </c>
      <c r="B303" s="50" t="str">
        <f>VLOOKUP(K303,Lookup!$A$1:$D$34,4,FALSE)</f>
        <v>a_open</v>
      </c>
      <c r="C303" s="9">
        <v>43191</v>
      </c>
      <c r="D303" s="3">
        <v>2018</v>
      </c>
      <c r="E303" s="3">
        <v>4</v>
      </c>
      <c r="F303" s="3" t="s">
        <v>33</v>
      </c>
      <c r="G303" s="3">
        <v>3</v>
      </c>
      <c r="H303">
        <v>3</v>
      </c>
      <c r="I303" s="3">
        <v>3</v>
      </c>
      <c r="J303" s="3" t="s">
        <v>15</v>
      </c>
      <c r="K303" s="3" t="s">
        <v>14</v>
      </c>
      <c r="L303" s="3">
        <v>460</v>
      </c>
    </row>
    <row r="304" spans="1:12" x14ac:dyDescent="0.25">
      <c r="A304" s="44">
        <f t="shared" si="5"/>
        <v>1</v>
      </c>
      <c r="B304" s="50" t="str">
        <f>VLOOKUP(K304,Lookup!$A$1:$D$34,4,FALSE)</f>
        <v>zf_close</v>
      </c>
      <c r="C304" s="9">
        <v>43101</v>
      </c>
      <c r="D304" s="3">
        <v>2018</v>
      </c>
      <c r="E304" s="3">
        <v>1</v>
      </c>
      <c r="F304" s="3" t="s">
        <v>34</v>
      </c>
      <c r="G304" s="3">
        <v>1</v>
      </c>
      <c r="H304">
        <v>3</v>
      </c>
      <c r="I304" s="3">
        <v>3</v>
      </c>
      <c r="J304" s="3" t="s">
        <v>8</v>
      </c>
      <c r="K304" s="3" t="s">
        <v>9</v>
      </c>
      <c r="L304" s="3">
        <v>-3000</v>
      </c>
    </row>
    <row r="305" spans="1:12" x14ac:dyDescent="0.25">
      <c r="A305" s="44">
        <f t="shared" si="5"/>
        <v>1</v>
      </c>
      <c r="B305" s="50" t="str">
        <f>VLOOKUP(K305,Lookup!$A$1:$D$34,4,FALSE)</f>
        <v>v_drawdown_rvlv</v>
      </c>
      <c r="C305" s="9">
        <v>43101</v>
      </c>
      <c r="D305" s="3">
        <v>2018</v>
      </c>
      <c r="E305" s="3">
        <v>1</v>
      </c>
      <c r="F305" s="3" t="s">
        <v>34</v>
      </c>
      <c r="G305" s="3">
        <v>1</v>
      </c>
      <c r="H305">
        <v>3</v>
      </c>
      <c r="I305" s="3">
        <v>1</v>
      </c>
      <c r="J305" s="3" t="s">
        <v>8</v>
      </c>
      <c r="K305" s="3" t="s">
        <v>24</v>
      </c>
      <c r="L305" s="3">
        <v>-3000</v>
      </c>
    </row>
    <row r="306" spans="1:12" x14ac:dyDescent="0.25">
      <c r="A306" s="44">
        <f t="shared" si="5"/>
        <v>1</v>
      </c>
      <c r="B306" s="50" t="str">
        <f>VLOOKUP(K306,Lookup!$A$1:$D$34,4,FALSE)</f>
        <v>c_tfr.1.3</v>
      </c>
      <c r="C306" s="9">
        <v>43101</v>
      </c>
      <c r="D306" s="3">
        <v>2018</v>
      </c>
      <c r="E306" s="3">
        <v>1</v>
      </c>
      <c r="F306" s="3" t="s">
        <v>34</v>
      </c>
      <c r="G306" s="3">
        <v>1</v>
      </c>
      <c r="H306">
        <v>3</v>
      </c>
      <c r="I306" s="3">
        <v>3</v>
      </c>
      <c r="J306" s="3" t="s">
        <v>8</v>
      </c>
      <c r="K306" s="3" t="s">
        <v>162</v>
      </c>
      <c r="L306" s="3">
        <v>-3000</v>
      </c>
    </row>
    <row r="307" spans="1:12" x14ac:dyDescent="0.25">
      <c r="A307" s="44">
        <f t="shared" si="5"/>
        <v>1</v>
      </c>
      <c r="B307" s="50" t="str">
        <f>VLOOKUP(K307,Lookup!$A$1:$D$34,4,FALSE)</f>
        <v>c_tfr.1.3</v>
      </c>
      <c r="C307" s="9">
        <v>43101</v>
      </c>
      <c r="D307" s="3">
        <v>2018</v>
      </c>
      <c r="E307" s="3">
        <v>1</v>
      </c>
      <c r="F307" s="3" t="s">
        <v>34</v>
      </c>
      <c r="G307" s="3">
        <v>1</v>
      </c>
      <c r="H307">
        <v>3</v>
      </c>
      <c r="I307" s="3">
        <v>1</v>
      </c>
      <c r="J307" s="3" t="s">
        <v>8</v>
      </c>
      <c r="K307" s="3" t="s">
        <v>162</v>
      </c>
      <c r="L307" s="3">
        <v>3000</v>
      </c>
    </row>
    <row r="308" spans="1:12" x14ac:dyDescent="0.25">
      <c r="A308" s="44">
        <f t="shared" si="5"/>
        <v>1</v>
      </c>
      <c r="B308" s="50" t="str">
        <f>VLOOKUP(K308,Lookup!$A$1:$D$34,4,FALSE)</f>
        <v>zf_close</v>
      </c>
      <c r="C308" s="9">
        <v>43101</v>
      </c>
      <c r="D308" s="3">
        <v>2018</v>
      </c>
      <c r="E308" s="3">
        <v>1</v>
      </c>
      <c r="F308" s="3" t="s">
        <v>34</v>
      </c>
      <c r="G308" s="3">
        <v>1</v>
      </c>
      <c r="H308">
        <v>3</v>
      </c>
      <c r="I308" s="3">
        <v>3</v>
      </c>
      <c r="J308" s="3" t="s">
        <v>15</v>
      </c>
      <c r="K308" s="3" t="s">
        <v>9</v>
      </c>
      <c r="L308" s="3">
        <v>7500</v>
      </c>
    </row>
    <row r="309" spans="1:12" x14ac:dyDescent="0.25">
      <c r="A309" s="44">
        <f t="shared" si="5"/>
        <v>1</v>
      </c>
      <c r="B309" s="50" t="str">
        <f>VLOOKUP(K309,Lookup!$A$1:$D$34,4,FALSE)</f>
        <v>v_drawdown_rvlv</v>
      </c>
      <c r="C309" s="9">
        <v>43101</v>
      </c>
      <c r="D309" s="3">
        <v>2018</v>
      </c>
      <c r="E309" s="3">
        <v>1</v>
      </c>
      <c r="F309" s="3" t="s">
        <v>34</v>
      </c>
      <c r="G309" s="3">
        <v>1</v>
      </c>
      <c r="H309">
        <v>3</v>
      </c>
      <c r="I309" s="3">
        <v>1</v>
      </c>
      <c r="J309" s="3" t="s">
        <v>15</v>
      </c>
      <c r="K309" s="3" t="s">
        <v>24</v>
      </c>
      <c r="L309" s="3">
        <v>7500</v>
      </c>
    </row>
    <row r="310" spans="1:12" x14ac:dyDescent="0.25">
      <c r="A310" s="44">
        <f t="shared" si="5"/>
        <v>1</v>
      </c>
      <c r="B310" s="50" t="str">
        <f>VLOOKUP(K310,Lookup!$A$1:$D$34,4,FALSE)</f>
        <v>c_tfr.1.3</v>
      </c>
      <c r="C310" s="9">
        <v>43101</v>
      </c>
      <c r="D310" s="3">
        <v>2018</v>
      </c>
      <c r="E310" s="3">
        <v>1</v>
      </c>
      <c r="F310" s="3" t="s">
        <v>34</v>
      </c>
      <c r="G310" s="3">
        <v>1</v>
      </c>
      <c r="H310">
        <v>3</v>
      </c>
      <c r="I310" s="3">
        <v>3</v>
      </c>
      <c r="J310" s="3" t="s">
        <v>15</v>
      </c>
      <c r="K310" s="3" t="s">
        <v>162</v>
      </c>
      <c r="L310" s="3">
        <v>7500</v>
      </c>
    </row>
    <row r="311" spans="1:12" x14ac:dyDescent="0.25">
      <c r="A311" s="44">
        <f t="shared" si="5"/>
        <v>1</v>
      </c>
      <c r="B311" s="50" t="str">
        <f>VLOOKUP(K311,Lookup!$A$1:$D$34,4,FALSE)</f>
        <v>c_tfr.1.3</v>
      </c>
      <c r="C311" s="9">
        <v>43101</v>
      </c>
      <c r="D311" s="3">
        <v>2018</v>
      </c>
      <c r="E311" s="3">
        <v>1</v>
      </c>
      <c r="F311" s="3" t="s">
        <v>34</v>
      </c>
      <c r="G311" s="3">
        <v>1</v>
      </c>
      <c r="H311">
        <v>3</v>
      </c>
      <c r="I311" s="3">
        <v>1</v>
      </c>
      <c r="J311" s="3" t="s">
        <v>15</v>
      </c>
      <c r="K311" s="3" t="s">
        <v>162</v>
      </c>
      <c r="L311" s="3">
        <v>-7500</v>
      </c>
    </row>
    <row r="312" spans="1:12" x14ac:dyDescent="0.25">
      <c r="A312" s="44">
        <f t="shared" si="5"/>
        <v>1</v>
      </c>
      <c r="B312" s="50" t="str">
        <f>VLOOKUP(K312,Lookup!$A$1:$D$34,4,FALSE)</f>
        <v>v_drawdown_rvlv</v>
      </c>
      <c r="C312" s="9">
        <v>43132</v>
      </c>
      <c r="D312" s="3">
        <v>2018</v>
      </c>
      <c r="E312" s="3">
        <v>2</v>
      </c>
      <c r="F312" s="3" t="s">
        <v>34</v>
      </c>
      <c r="G312" s="3">
        <v>3</v>
      </c>
      <c r="H312">
        <v>3</v>
      </c>
      <c r="I312" s="3">
        <v>3</v>
      </c>
      <c r="J312" s="3" t="s">
        <v>8</v>
      </c>
      <c r="K312" s="3" t="s">
        <v>24</v>
      </c>
      <c r="L312" s="3">
        <v>1400</v>
      </c>
    </row>
    <row r="313" spans="1:12" x14ac:dyDescent="0.25">
      <c r="A313" s="44">
        <f t="shared" si="5"/>
        <v>1</v>
      </c>
      <c r="B313" s="50" t="str">
        <f>VLOOKUP(K313,Lookup!$A$1:$D$34,4,FALSE)</f>
        <v>za_re-measure_no_migr</v>
      </c>
      <c r="C313" s="9">
        <v>43132</v>
      </c>
      <c r="D313" s="3">
        <v>2018</v>
      </c>
      <c r="E313" s="3">
        <v>2</v>
      </c>
      <c r="F313" s="3" t="s">
        <v>34</v>
      </c>
      <c r="G313" s="3">
        <v>3</v>
      </c>
      <c r="H313">
        <v>3</v>
      </c>
      <c r="I313" s="3">
        <v>3</v>
      </c>
      <c r="J313" s="3" t="s">
        <v>8</v>
      </c>
      <c r="K313" s="3" t="s">
        <v>11</v>
      </c>
      <c r="L313" s="3">
        <v>-2400</v>
      </c>
    </row>
    <row r="314" spans="1:12" x14ac:dyDescent="0.25">
      <c r="A314" s="44">
        <f t="shared" si="5"/>
        <v>1</v>
      </c>
      <c r="B314" s="50" t="str">
        <f>VLOOKUP(K314,Lookup!$A$1:$D$34,4,FALSE)</f>
        <v>ze_write_off</v>
      </c>
      <c r="C314" s="9">
        <v>43132</v>
      </c>
      <c r="D314" s="3">
        <v>2018</v>
      </c>
      <c r="E314" s="3">
        <v>2</v>
      </c>
      <c r="F314" s="3" t="s">
        <v>34</v>
      </c>
      <c r="G314" s="3">
        <v>3</v>
      </c>
      <c r="H314">
        <v>3</v>
      </c>
      <c r="I314" s="3">
        <v>3</v>
      </c>
      <c r="J314" s="3" t="s">
        <v>8</v>
      </c>
      <c r="K314" s="3" t="s">
        <v>13</v>
      </c>
      <c r="L314" s="3">
        <v>4000</v>
      </c>
    </row>
    <row r="315" spans="1:12" x14ac:dyDescent="0.25">
      <c r="A315" s="44">
        <f t="shared" si="5"/>
        <v>1</v>
      </c>
      <c r="B315" s="50" t="str">
        <f>VLOOKUP(K315,Lookup!$A$1:$D$34,4,FALSE)</f>
        <v>a_open</v>
      </c>
      <c r="C315" s="9">
        <v>43132</v>
      </c>
      <c r="D315" s="3">
        <v>2018</v>
      </c>
      <c r="E315" s="3">
        <v>2</v>
      </c>
      <c r="F315" s="3" t="s">
        <v>34</v>
      </c>
      <c r="G315" s="3">
        <v>3</v>
      </c>
      <c r="H315">
        <v>3</v>
      </c>
      <c r="I315" s="3">
        <v>3</v>
      </c>
      <c r="J315" s="3" t="s">
        <v>8</v>
      </c>
      <c r="K315" s="3" t="s">
        <v>14</v>
      </c>
      <c r="L315" s="3">
        <v>-3000</v>
      </c>
    </row>
    <row r="316" spans="1:12" x14ac:dyDescent="0.25">
      <c r="A316" s="44">
        <f t="shared" si="5"/>
        <v>1</v>
      </c>
      <c r="B316" s="50" t="str">
        <f>VLOOKUP(K316,Lookup!$A$1:$D$34,4,FALSE)</f>
        <v>v_drawdown_rvlv</v>
      </c>
      <c r="C316" s="9">
        <v>43132</v>
      </c>
      <c r="D316" s="3">
        <v>2018</v>
      </c>
      <c r="E316" s="3">
        <v>2</v>
      </c>
      <c r="F316" s="3" t="s">
        <v>34</v>
      </c>
      <c r="G316" s="3">
        <v>3</v>
      </c>
      <c r="H316">
        <v>3</v>
      </c>
      <c r="I316" s="3">
        <v>3</v>
      </c>
      <c r="J316" s="3" t="s">
        <v>15</v>
      </c>
      <c r="K316" s="3" t="s">
        <v>24</v>
      </c>
      <c r="L316" s="3">
        <v>-3500</v>
      </c>
    </row>
    <row r="317" spans="1:12" x14ac:dyDescent="0.25">
      <c r="A317" s="44">
        <f t="shared" si="5"/>
        <v>1</v>
      </c>
      <c r="B317" s="50" t="str">
        <f>VLOOKUP(K317,Lookup!$A$1:$D$34,4,FALSE)</f>
        <v>ze_write_off</v>
      </c>
      <c r="C317" s="9">
        <v>43132</v>
      </c>
      <c r="D317" s="3">
        <v>2018</v>
      </c>
      <c r="E317" s="3">
        <v>2</v>
      </c>
      <c r="F317" s="3" t="s">
        <v>34</v>
      </c>
      <c r="G317" s="3">
        <v>3</v>
      </c>
      <c r="H317">
        <v>3</v>
      </c>
      <c r="I317" s="3">
        <v>3</v>
      </c>
      <c r="J317" s="3" t="s">
        <v>15</v>
      </c>
      <c r="K317" s="3" t="s">
        <v>13</v>
      </c>
      <c r="L317" s="3">
        <v>-4000</v>
      </c>
    </row>
    <row r="318" spans="1:12" x14ac:dyDescent="0.25">
      <c r="A318" s="44">
        <f t="shared" si="5"/>
        <v>1</v>
      </c>
      <c r="B318" s="50" t="str">
        <f>VLOOKUP(K318,Lookup!$A$1:$D$34,4,FALSE)</f>
        <v>a_open</v>
      </c>
      <c r="C318" s="9">
        <v>43132</v>
      </c>
      <c r="D318" s="3">
        <v>2018</v>
      </c>
      <c r="E318" s="3">
        <v>2</v>
      </c>
      <c r="F318" s="3" t="s">
        <v>34</v>
      </c>
      <c r="G318" s="3">
        <v>3</v>
      </c>
      <c r="H318">
        <v>3</v>
      </c>
      <c r="I318" s="3">
        <v>3</v>
      </c>
      <c r="J318" s="3" t="s">
        <v>15</v>
      </c>
      <c r="K318" s="3" t="s">
        <v>14</v>
      </c>
      <c r="L318" s="3">
        <v>7500</v>
      </c>
    </row>
    <row r="319" spans="1:12" x14ac:dyDescent="0.25">
      <c r="A319" s="44">
        <f t="shared" si="5"/>
        <v>1</v>
      </c>
      <c r="B319" s="50" t="str">
        <f>VLOOKUP(K319,Lookup!$A$1:$D$34,4,FALSE)</f>
        <v>zf_close</v>
      </c>
      <c r="C319" s="9">
        <v>43101</v>
      </c>
      <c r="D319" s="3">
        <v>2018</v>
      </c>
      <c r="E319" s="3">
        <v>1</v>
      </c>
      <c r="F319" s="3" t="s">
        <v>35</v>
      </c>
      <c r="G319" s="3">
        <v>1</v>
      </c>
      <c r="H319">
        <v>1</v>
      </c>
      <c r="I319" s="3">
        <v>1</v>
      </c>
      <c r="J319" s="3" t="s">
        <v>8</v>
      </c>
      <c r="K319" s="3" t="s">
        <v>9</v>
      </c>
      <c r="L319" s="3">
        <v>-9.5</v>
      </c>
    </row>
    <row r="320" spans="1:12" x14ac:dyDescent="0.25">
      <c r="A320" s="44">
        <f t="shared" si="5"/>
        <v>1</v>
      </c>
      <c r="B320" s="50" t="str">
        <f>VLOOKUP(K320,Lookup!$A$1:$D$34,4,FALSE)</f>
        <v>w_drawdown_term</v>
      </c>
      <c r="C320" s="9">
        <v>43101</v>
      </c>
      <c r="D320" s="3">
        <v>2018</v>
      </c>
      <c r="E320" s="3">
        <v>1</v>
      </c>
      <c r="F320" s="3" t="s">
        <v>35</v>
      </c>
      <c r="G320" s="3">
        <v>1</v>
      </c>
      <c r="H320">
        <v>1</v>
      </c>
      <c r="I320" s="3">
        <v>1</v>
      </c>
      <c r="J320" s="3" t="s">
        <v>8</v>
      </c>
      <c r="K320" s="3" t="s">
        <v>32</v>
      </c>
      <c r="L320" s="3">
        <v>-9.5</v>
      </c>
    </row>
    <row r="321" spans="1:12" x14ac:dyDescent="0.25">
      <c r="A321" s="44">
        <f t="shared" si="5"/>
        <v>1</v>
      </c>
      <c r="B321" s="50" t="str">
        <f>VLOOKUP(K321,Lookup!$A$1:$D$34,4,FALSE)</f>
        <v>zf_close</v>
      </c>
      <c r="C321" s="9">
        <v>43101</v>
      </c>
      <c r="D321" s="3">
        <v>2018</v>
      </c>
      <c r="E321" s="3">
        <v>1</v>
      </c>
      <c r="F321" s="3" t="s">
        <v>35</v>
      </c>
      <c r="G321" s="3">
        <v>1</v>
      </c>
      <c r="H321">
        <v>1</v>
      </c>
      <c r="I321" s="3">
        <v>1</v>
      </c>
      <c r="J321" s="3" t="s">
        <v>15</v>
      </c>
      <c r="K321" s="3" t="s">
        <v>9</v>
      </c>
      <c r="L321" s="3">
        <v>1000</v>
      </c>
    </row>
    <row r="322" spans="1:12" x14ac:dyDescent="0.25">
      <c r="A322" s="44">
        <f t="shared" si="5"/>
        <v>1</v>
      </c>
      <c r="B322" s="50" t="str">
        <f>VLOOKUP(K322,Lookup!$A$1:$D$34,4,FALSE)</f>
        <v>w_drawdown_term</v>
      </c>
      <c r="C322" s="9">
        <v>43101</v>
      </c>
      <c r="D322" s="3">
        <v>2018</v>
      </c>
      <c r="E322" s="3">
        <v>1</v>
      </c>
      <c r="F322" s="3" t="s">
        <v>35</v>
      </c>
      <c r="G322" s="3">
        <v>1</v>
      </c>
      <c r="H322">
        <v>1</v>
      </c>
      <c r="I322" s="3">
        <v>1</v>
      </c>
      <c r="J322" s="3" t="s">
        <v>15</v>
      </c>
      <c r="K322" s="3" t="s">
        <v>32</v>
      </c>
      <c r="L322" s="3">
        <v>950</v>
      </c>
    </row>
    <row r="323" spans="1:12" x14ac:dyDescent="0.25">
      <c r="A323" s="44">
        <f t="shared" si="5"/>
        <v>1</v>
      </c>
      <c r="B323" s="50" t="str">
        <f>VLOOKUP(K323,Lookup!$A$1:$D$34,4,FALSE)</f>
        <v>zd_other</v>
      </c>
      <c r="C323" s="9">
        <v>43101</v>
      </c>
      <c r="D323" s="3">
        <v>2018</v>
      </c>
      <c r="E323" s="3">
        <v>1</v>
      </c>
      <c r="F323" s="3" t="s">
        <v>35</v>
      </c>
      <c r="G323" s="3">
        <v>1</v>
      </c>
      <c r="H323">
        <v>1</v>
      </c>
      <c r="I323" s="3">
        <v>1</v>
      </c>
      <c r="J323" s="3" t="s">
        <v>15</v>
      </c>
      <c r="K323" s="3" t="s">
        <v>18</v>
      </c>
      <c r="L323" s="3">
        <v>50</v>
      </c>
    </row>
    <row r="324" spans="1:12" x14ac:dyDescent="0.25">
      <c r="A324" s="44">
        <f t="shared" si="5"/>
        <v>1</v>
      </c>
      <c r="B324" s="50" t="str">
        <f>VLOOKUP(K324,Lookup!$A$1:$D$34,4,FALSE)</f>
        <v>z_repay_term_final</v>
      </c>
      <c r="C324" s="9">
        <v>43132</v>
      </c>
      <c r="D324" s="3">
        <v>2018</v>
      </c>
      <c r="E324" s="3">
        <v>2</v>
      </c>
      <c r="F324" s="3" t="s">
        <v>35</v>
      </c>
      <c r="G324" s="3">
        <v>1</v>
      </c>
      <c r="H324">
        <v>1</v>
      </c>
      <c r="I324" s="3">
        <v>1</v>
      </c>
      <c r="J324" s="3" t="s">
        <v>8</v>
      </c>
      <c r="K324" s="3" t="s">
        <v>17</v>
      </c>
      <c r="L324" s="3">
        <v>9.5</v>
      </c>
    </row>
    <row r="325" spans="1:12" x14ac:dyDescent="0.25">
      <c r="A325" s="44">
        <f t="shared" si="5"/>
        <v>1</v>
      </c>
      <c r="B325" s="50" t="str">
        <f>VLOOKUP(K325,Lookup!$A$1:$D$34,4,FALSE)</f>
        <v>a_open</v>
      </c>
      <c r="C325" s="9">
        <v>43132</v>
      </c>
      <c r="D325" s="3">
        <v>2018</v>
      </c>
      <c r="E325" s="3">
        <v>2</v>
      </c>
      <c r="F325" s="3" t="s">
        <v>35</v>
      </c>
      <c r="G325" s="3">
        <v>1</v>
      </c>
      <c r="H325">
        <v>1</v>
      </c>
      <c r="I325" s="3">
        <v>1</v>
      </c>
      <c r="J325" s="3" t="s">
        <v>8</v>
      </c>
      <c r="K325" s="3" t="s">
        <v>14</v>
      </c>
      <c r="L325" s="3">
        <v>-9.5</v>
      </c>
    </row>
    <row r="326" spans="1:12" x14ac:dyDescent="0.25">
      <c r="A326" s="44">
        <f t="shared" si="5"/>
        <v>1</v>
      </c>
      <c r="B326" s="50" t="str">
        <f>VLOOKUP(K326,Lookup!$A$1:$D$34,4,FALSE)</f>
        <v>zd_other</v>
      </c>
      <c r="C326" s="9">
        <v>43132</v>
      </c>
      <c r="D326" s="3">
        <v>2018</v>
      </c>
      <c r="E326" s="3">
        <v>2</v>
      </c>
      <c r="F326" s="3" t="s">
        <v>35</v>
      </c>
      <c r="G326" s="3">
        <v>1</v>
      </c>
      <c r="H326">
        <v>1</v>
      </c>
      <c r="I326" s="3">
        <v>1</v>
      </c>
      <c r="J326" s="3" t="s">
        <v>15</v>
      </c>
      <c r="K326" s="3" t="s">
        <v>18</v>
      </c>
      <c r="L326" s="3">
        <v>-50</v>
      </c>
    </row>
    <row r="327" spans="1:12" x14ac:dyDescent="0.25">
      <c r="A327" s="44">
        <f t="shared" si="5"/>
        <v>1</v>
      </c>
      <c r="B327" s="50" t="str">
        <f>VLOOKUP(K327,Lookup!$A$1:$D$34,4,FALSE)</f>
        <v>z_repay_term_final</v>
      </c>
      <c r="C327" s="9">
        <v>43132</v>
      </c>
      <c r="D327" s="3">
        <v>2018</v>
      </c>
      <c r="E327" s="3">
        <v>2</v>
      </c>
      <c r="F327" s="3" t="s">
        <v>35</v>
      </c>
      <c r="G327" s="3">
        <v>1</v>
      </c>
      <c r="H327">
        <v>1</v>
      </c>
      <c r="I327" s="3">
        <v>1</v>
      </c>
      <c r="J327" s="3" t="s">
        <v>15</v>
      </c>
      <c r="K327" s="3" t="s">
        <v>17</v>
      </c>
      <c r="L327" s="3">
        <v>-950</v>
      </c>
    </row>
    <row r="328" spans="1:12" x14ac:dyDescent="0.25">
      <c r="A328" s="44">
        <f t="shared" ref="A328:A391" si="6">IF(OR(AND(C328=$A$1,J328="op"),AND(C328=$A$2,J328="cl"),AND(C328&gt;=$A$1,C328&lt;=$A$2,J328&lt;&gt;"op",J328&lt;&gt;"cl")),1,0)</f>
        <v>1</v>
      </c>
      <c r="B328" s="50" t="str">
        <f>VLOOKUP(K328,Lookup!$A$1:$D$34,4,FALSE)</f>
        <v>a_open</v>
      </c>
      <c r="C328" s="9">
        <v>43132</v>
      </c>
      <c r="D328" s="3">
        <v>2018</v>
      </c>
      <c r="E328" s="3">
        <v>2</v>
      </c>
      <c r="F328" s="3" t="s">
        <v>35</v>
      </c>
      <c r="G328" s="3">
        <v>1</v>
      </c>
      <c r="H328">
        <v>1</v>
      </c>
      <c r="I328" s="3">
        <v>1</v>
      </c>
      <c r="J328" s="3" t="s">
        <v>15</v>
      </c>
      <c r="K328" s="3" t="s">
        <v>14</v>
      </c>
      <c r="L328" s="3">
        <v>1000</v>
      </c>
    </row>
    <row r="329" spans="1:12" x14ac:dyDescent="0.25">
      <c r="A329" s="44">
        <f t="shared" si="6"/>
        <v>1</v>
      </c>
      <c r="B329" s="50" t="str">
        <f>VLOOKUP(K329,Lookup!$A$1:$D$34,4,FALSE)</f>
        <v>zf_close</v>
      </c>
      <c r="C329" s="9">
        <v>43101</v>
      </c>
      <c r="D329" s="3">
        <v>2018</v>
      </c>
      <c r="E329" s="3">
        <v>1</v>
      </c>
      <c r="F329" s="3" t="s">
        <v>36</v>
      </c>
      <c r="G329" s="3">
        <v>1</v>
      </c>
      <c r="H329">
        <v>1</v>
      </c>
      <c r="I329" s="3">
        <v>1</v>
      </c>
      <c r="J329" s="3" t="s">
        <v>8</v>
      </c>
      <c r="K329" s="3" t="s">
        <v>9</v>
      </c>
      <c r="L329" s="3">
        <v>-2</v>
      </c>
    </row>
    <row r="330" spans="1:12" x14ac:dyDescent="0.25">
      <c r="A330" s="44">
        <f t="shared" si="6"/>
        <v>1</v>
      </c>
      <c r="B330" s="50" t="str">
        <f>VLOOKUP(K330,Lookup!$A$1:$D$34,4,FALSE)</f>
        <v>v_drawdown_rvlv</v>
      </c>
      <c r="C330" s="9">
        <v>43101</v>
      </c>
      <c r="D330" s="3">
        <v>2018</v>
      </c>
      <c r="E330" s="3">
        <v>1</v>
      </c>
      <c r="F330" s="3" t="s">
        <v>36</v>
      </c>
      <c r="G330" s="3">
        <v>1</v>
      </c>
      <c r="H330">
        <v>1</v>
      </c>
      <c r="I330" s="3">
        <v>1</v>
      </c>
      <c r="J330" s="3" t="s">
        <v>8</v>
      </c>
      <c r="K330" s="3" t="s">
        <v>24</v>
      </c>
      <c r="L330" s="3">
        <v>-2.2000000000000002</v>
      </c>
    </row>
    <row r="331" spans="1:12" x14ac:dyDescent="0.25">
      <c r="A331" s="44">
        <f t="shared" si="6"/>
        <v>1</v>
      </c>
      <c r="B331" s="50" t="str">
        <f>VLOOKUP(K331,Lookup!$A$1:$D$34,4,FALSE)</f>
        <v>za_re-measure_no_migr</v>
      </c>
      <c r="C331" s="9">
        <v>43101</v>
      </c>
      <c r="D331" s="3">
        <v>2018</v>
      </c>
      <c r="E331" s="3">
        <v>1</v>
      </c>
      <c r="F331" s="3" t="s">
        <v>36</v>
      </c>
      <c r="G331" s="3">
        <v>1</v>
      </c>
      <c r="H331">
        <v>1</v>
      </c>
      <c r="I331" s="3">
        <v>1</v>
      </c>
      <c r="J331" s="3" t="s">
        <v>8</v>
      </c>
      <c r="K331" s="3" t="s">
        <v>11</v>
      </c>
      <c r="L331" s="3">
        <v>0.2</v>
      </c>
    </row>
    <row r="332" spans="1:12" x14ac:dyDescent="0.25">
      <c r="A332" s="44">
        <f t="shared" si="6"/>
        <v>1</v>
      </c>
      <c r="B332" s="50" t="str">
        <f>VLOOKUP(K332,Lookup!$A$1:$D$34,4,FALSE)</f>
        <v>zf_close</v>
      </c>
      <c r="C332" s="9">
        <v>43101</v>
      </c>
      <c r="D332" s="3">
        <v>2018</v>
      </c>
      <c r="E332" s="3">
        <v>1</v>
      </c>
      <c r="F332" s="3" t="s">
        <v>36</v>
      </c>
      <c r="G332" s="3">
        <v>1</v>
      </c>
      <c r="H332">
        <v>1</v>
      </c>
      <c r="I332" s="3">
        <v>1</v>
      </c>
      <c r="J332" s="3" t="s">
        <v>15</v>
      </c>
      <c r="K332" s="3" t="s">
        <v>9</v>
      </c>
      <c r="L332" s="3">
        <v>100</v>
      </c>
    </row>
    <row r="333" spans="1:12" x14ac:dyDescent="0.25">
      <c r="A333" s="44">
        <f t="shared" si="6"/>
        <v>1</v>
      </c>
      <c r="B333" s="50" t="str">
        <f>VLOOKUP(K333,Lookup!$A$1:$D$34,4,FALSE)</f>
        <v>v_drawdown_rvlv</v>
      </c>
      <c r="C333" s="9">
        <v>43101</v>
      </c>
      <c r="D333" s="3">
        <v>2018</v>
      </c>
      <c r="E333" s="3">
        <v>1</v>
      </c>
      <c r="F333" s="3" t="s">
        <v>36</v>
      </c>
      <c r="G333" s="3">
        <v>1</v>
      </c>
      <c r="H333">
        <v>1</v>
      </c>
      <c r="I333" s="3">
        <v>1</v>
      </c>
      <c r="J333" s="3" t="s">
        <v>15</v>
      </c>
      <c r="K333" s="3" t="s">
        <v>24</v>
      </c>
      <c r="L333" s="3">
        <v>110</v>
      </c>
    </row>
    <row r="334" spans="1:12" x14ac:dyDescent="0.25">
      <c r="A334" s="44">
        <f t="shared" si="6"/>
        <v>1</v>
      </c>
      <c r="B334" s="50" t="str">
        <f>VLOOKUP(K334,Lookup!$A$1:$D$34,4,FALSE)</f>
        <v>zd_other</v>
      </c>
      <c r="C334" s="9">
        <v>43101</v>
      </c>
      <c r="D334" s="3">
        <v>2018</v>
      </c>
      <c r="E334" s="3">
        <v>1</v>
      </c>
      <c r="F334" s="3" t="s">
        <v>36</v>
      </c>
      <c r="G334" s="3">
        <v>1</v>
      </c>
      <c r="H334">
        <v>1</v>
      </c>
      <c r="I334" s="3">
        <v>1</v>
      </c>
      <c r="J334" s="3" t="s">
        <v>15</v>
      </c>
      <c r="K334" s="3" t="s">
        <v>18</v>
      </c>
      <c r="L334" s="3">
        <v>-10</v>
      </c>
    </row>
    <row r="335" spans="1:12" x14ac:dyDescent="0.25">
      <c r="A335" s="44">
        <f t="shared" si="6"/>
        <v>1</v>
      </c>
      <c r="B335" s="50" t="str">
        <f>VLOOKUP(K335,Lookup!$A$1:$D$34,4,FALSE)</f>
        <v>zf_close</v>
      </c>
      <c r="C335" s="9">
        <v>43132</v>
      </c>
      <c r="D335" s="3">
        <v>2018</v>
      </c>
      <c r="E335" s="3">
        <v>2</v>
      </c>
      <c r="F335" s="3" t="s">
        <v>36</v>
      </c>
      <c r="G335" s="3">
        <v>1</v>
      </c>
      <c r="H335">
        <v>2</v>
      </c>
      <c r="I335" s="3">
        <v>2</v>
      </c>
      <c r="J335" s="3" t="s">
        <v>8</v>
      </c>
      <c r="K335" s="3" t="s">
        <v>9</v>
      </c>
      <c r="L335" s="3">
        <v>0.02</v>
      </c>
    </row>
    <row r="336" spans="1:12" x14ac:dyDescent="0.25">
      <c r="A336" s="44">
        <f t="shared" si="6"/>
        <v>1</v>
      </c>
      <c r="B336" s="50" t="str">
        <f>VLOOKUP(K336,Lookup!$A$1:$D$34,4,FALSE)</f>
        <v>v_drawdown_rvlv</v>
      </c>
      <c r="C336" s="9">
        <v>43132</v>
      </c>
      <c r="D336" s="3">
        <v>2018</v>
      </c>
      <c r="E336" s="3">
        <v>2</v>
      </c>
      <c r="F336" s="3" t="s">
        <v>36</v>
      </c>
      <c r="G336" s="3">
        <v>1</v>
      </c>
      <c r="H336">
        <v>2</v>
      </c>
      <c r="I336" s="3">
        <v>2</v>
      </c>
      <c r="J336" s="3" t="s">
        <v>8</v>
      </c>
      <c r="K336" s="3" t="s">
        <v>24</v>
      </c>
      <c r="L336" s="3">
        <v>2.2000000000000002</v>
      </c>
    </row>
    <row r="337" spans="1:12" x14ac:dyDescent="0.25">
      <c r="A337" s="44">
        <f t="shared" si="6"/>
        <v>1</v>
      </c>
      <c r="B337" s="50" t="str">
        <f>VLOOKUP(K337,Lookup!$A$1:$D$34,4,FALSE)</f>
        <v>v_repay_rvlv</v>
      </c>
      <c r="C337" s="9">
        <v>43132</v>
      </c>
      <c r="D337" s="3">
        <v>2018</v>
      </c>
      <c r="E337" s="3">
        <v>2</v>
      </c>
      <c r="F337" s="3" t="s">
        <v>36</v>
      </c>
      <c r="G337" s="3">
        <v>1</v>
      </c>
      <c r="H337">
        <v>2</v>
      </c>
      <c r="I337" s="3">
        <v>2</v>
      </c>
      <c r="J337" s="3" t="s">
        <v>8</v>
      </c>
      <c r="K337" s="3" t="s">
        <v>10</v>
      </c>
      <c r="L337" s="3">
        <v>30</v>
      </c>
    </row>
    <row r="338" spans="1:12" x14ac:dyDescent="0.25">
      <c r="A338" s="44">
        <f t="shared" si="6"/>
        <v>1</v>
      </c>
      <c r="B338" s="50" t="str">
        <f>VLOOKUP(K338,Lookup!$A$1:$D$34,4,FALSE)</f>
        <v>zb_re-measure_migr</v>
      </c>
      <c r="C338" s="9">
        <v>43132</v>
      </c>
      <c r="D338" s="3">
        <v>2018</v>
      </c>
      <c r="E338" s="3">
        <v>2</v>
      </c>
      <c r="F338" s="3" t="s">
        <v>36</v>
      </c>
      <c r="G338" s="3">
        <v>1</v>
      </c>
      <c r="H338">
        <v>2</v>
      </c>
      <c r="I338" s="3">
        <v>2</v>
      </c>
      <c r="J338" s="3" t="s">
        <v>8</v>
      </c>
      <c r="K338" s="3" t="s">
        <v>12</v>
      </c>
      <c r="L338" s="3">
        <v>-30.18</v>
      </c>
    </row>
    <row r="339" spans="1:12" x14ac:dyDescent="0.25">
      <c r="A339" s="44">
        <f t="shared" si="6"/>
        <v>1</v>
      </c>
      <c r="B339" s="50" t="str">
        <f>VLOOKUP(K339,Lookup!$A$1:$D$34,4,FALSE)</f>
        <v>b_tfr.1.2</v>
      </c>
      <c r="C339" s="9">
        <v>43132</v>
      </c>
      <c r="D339" s="3">
        <v>2018</v>
      </c>
      <c r="E339" s="3">
        <v>2</v>
      </c>
      <c r="F339" s="3" t="s">
        <v>36</v>
      </c>
      <c r="G339" s="3">
        <v>1</v>
      </c>
      <c r="H339">
        <v>2</v>
      </c>
      <c r="I339" s="3">
        <v>2</v>
      </c>
      <c r="J339" s="3" t="s">
        <v>8</v>
      </c>
      <c r="K339" s="3" t="s">
        <v>160</v>
      </c>
      <c r="L339" s="3">
        <v>-2</v>
      </c>
    </row>
    <row r="340" spans="1:12" x14ac:dyDescent="0.25">
      <c r="A340" s="44">
        <f t="shared" si="6"/>
        <v>1</v>
      </c>
      <c r="B340" s="50" t="str">
        <f>VLOOKUP(K340,Lookup!$A$1:$D$34,4,FALSE)</f>
        <v>b_tfr.1.2</v>
      </c>
      <c r="C340" s="9">
        <v>43132</v>
      </c>
      <c r="D340" s="3">
        <v>2018</v>
      </c>
      <c r="E340" s="3">
        <v>2</v>
      </c>
      <c r="F340" s="3" t="s">
        <v>36</v>
      </c>
      <c r="G340" s="3">
        <v>1</v>
      </c>
      <c r="H340">
        <v>2</v>
      </c>
      <c r="I340" s="3">
        <v>1</v>
      </c>
      <c r="J340" s="3" t="s">
        <v>8</v>
      </c>
      <c r="K340" s="3" t="s">
        <v>160</v>
      </c>
      <c r="L340" s="3">
        <v>2</v>
      </c>
    </row>
    <row r="341" spans="1:12" x14ac:dyDescent="0.25">
      <c r="A341" s="44">
        <f t="shared" si="6"/>
        <v>1</v>
      </c>
      <c r="B341" s="50" t="str">
        <f>VLOOKUP(K341,Lookup!$A$1:$D$34,4,FALSE)</f>
        <v>a_open</v>
      </c>
      <c r="C341" s="9">
        <v>43132</v>
      </c>
      <c r="D341" s="3">
        <v>2018</v>
      </c>
      <c r="E341" s="3">
        <v>2</v>
      </c>
      <c r="F341" s="3" t="s">
        <v>36</v>
      </c>
      <c r="G341" s="3">
        <v>1</v>
      </c>
      <c r="H341">
        <v>2</v>
      </c>
      <c r="I341" s="3">
        <v>1</v>
      </c>
      <c r="J341" s="3" t="s">
        <v>8</v>
      </c>
      <c r="K341" s="3" t="s">
        <v>14</v>
      </c>
      <c r="L341" s="3">
        <v>-2</v>
      </c>
    </row>
    <row r="342" spans="1:12" x14ac:dyDescent="0.25">
      <c r="A342" s="44">
        <f t="shared" si="6"/>
        <v>1</v>
      </c>
      <c r="B342" s="50" t="str">
        <f>VLOOKUP(K342,Lookup!$A$1:$D$34,4,FALSE)</f>
        <v>zf_close</v>
      </c>
      <c r="C342" s="9">
        <v>43132</v>
      </c>
      <c r="D342" s="3">
        <v>2018</v>
      </c>
      <c r="E342" s="3">
        <v>2</v>
      </c>
      <c r="F342" s="3" t="s">
        <v>36</v>
      </c>
      <c r="G342" s="3">
        <v>1</v>
      </c>
      <c r="H342">
        <v>2</v>
      </c>
      <c r="I342" s="3">
        <v>2</v>
      </c>
      <c r="J342" s="3" t="s">
        <v>15</v>
      </c>
      <c r="K342" s="3" t="s">
        <v>9</v>
      </c>
      <c r="L342" s="3">
        <v>-1500</v>
      </c>
    </row>
    <row r="343" spans="1:12" x14ac:dyDescent="0.25">
      <c r="A343" s="44">
        <f t="shared" si="6"/>
        <v>1</v>
      </c>
      <c r="B343" s="50" t="str">
        <f>VLOOKUP(K343,Lookup!$A$1:$D$34,4,FALSE)</f>
        <v>v_drawdown_rvlv</v>
      </c>
      <c r="C343" s="9">
        <v>43132</v>
      </c>
      <c r="D343" s="3">
        <v>2018</v>
      </c>
      <c r="E343" s="3">
        <v>2</v>
      </c>
      <c r="F343" s="3" t="s">
        <v>36</v>
      </c>
      <c r="G343" s="3">
        <v>1</v>
      </c>
      <c r="H343">
        <v>2</v>
      </c>
      <c r="I343" s="3">
        <v>2</v>
      </c>
      <c r="J343" s="3" t="s">
        <v>15</v>
      </c>
      <c r="K343" s="3" t="s">
        <v>24</v>
      </c>
      <c r="L343" s="3">
        <v>-110</v>
      </c>
    </row>
    <row r="344" spans="1:12" x14ac:dyDescent="0.25">
      <c r="A344" s="44">
        <f t="shared" si="6"/>
        <v>1</v>
      </c>
      <c r="B344" s="50" t="str">
        <f>VLOOKUP(K344,Lookup!$A$1:$D$34,4,FALSE)</f>
        <v>zd_other</v>
      </c>
      <c r="C344" s="9">
        <v>43132</v>
      </c>
      <c r="D344" s="3">
        <v>2018</v>
      </c>
      <c r="E344" s="3">
        <v>2</v>
      </c>
      <c r="F344" s="3" t="s">
        <v>36</v>
      </c>
      <c r="G344" s="3">
        <v>1</v>
      </c>
      <c r="H344">
        <v>2</v>
      </c>
      <c r="I344" s="3">
        <v>2</v>
      </c>
      <c r="J344" s="3" t="s">
        <v>15</v>
      </c>
      <c r="K344" s="3" t="s">
        <v>18</v>
      </c>
      <c r="L344" s="3">
        <v>10</v>
      </c>
    </row>
    <row r="345" spans="1:12" x14ac:dyDescent="0.25">
      <c r="A345" s="44">
        <f t="shared" si="6"/>
        <v>1</v>
      </c>
      <c r="B345" s="50" t="str">
        <f>VLOOKUP(K345,Lookup!$A$1:$D$34,4,FALSE)</f>
        <v>v_repay_rvlv</v>
      </c>
      <c r="C345" s="9">
        <v>43132</v>
      </c>
      <c r="D345" s="3">
        <v>2018</v>
      </c>
      <c r="E345" s="3">
        <v>2</v>
      </c>
      <c r="F345" s="3" t="s">
        <v>36</v>
      </c>
      <c r="G345" s="3">
        <v>1</v>
      </c>
      <c r="H345">
        <v>2</v>
      </c>
      <c r="I345" s="3">
        <v>2</v>
      </c>
      <c r="J345" s="3" t="s">
        <v>15</v>
      </c>
      <c r="K345" s="3" t="s">
        <v>10</v>
      </c>
      <c r="L345" s="3">
        <v>-1500</v>
      </c>
    </row>
    <row r="346" spans="1:12" x14ac:dyDescent="0.25">
      <c r="A346" s="44">
        <f t="shared" si="6"/>
        <v>1</v>
      </c>
      <c r="B346" s="50" t="str">
        <f>VLOOKUP(K346,Lookup!$A$1:$D$34,4,FALSE)</f>
        <v>b_tfr.1.2</v>
      </c>
      <c r="C346" s="9">
        <v>43132</v>
      </c>
      <c r="D346" s="3">
        <v>2018</v>
      </c>
      <c r="E346" s="3">
        <v>2</v>
      </c>
      <c r="F346" s="3" t="s">
        <v>36</v>
      </c>
      <c r="G346" s="3">
        <v>1</v>
      </c>
      <c r="H346">
        <v>2</v>
      </c>
      <c r="I346" s="3">
        <v>2</v>
      </c>
      <c r="J346" s="3" t="s">
        <v>15</v>
      </c>
      <c r="K346" s="3" t="s">
        <v>160</v>
      </c>
      <c r="L346" s="3">
        <v>100</v>
      </c>
    </row>
    <row r="347" spans="1:12" x14ac:dyDescent="0.25">
      <c r="A347" s="44">
        <f t="shared" si="6"/>
        <v>1</v>
      </c>
      <c r="B347" s="50" t="str">
        <f>VLOOKUP(K347,Lookup!$A$1:$D$34,4,FALSE)</f>
        <v>b_tfr.1.2</v>
      </c>
      <c r="C347" s="9">
        <v>43132</v>
      </c>
      <c r="D347" s="3">
        <v>2018</v>
      </c>
      <c r="E347" s="3">
        <v>2</v>
      </c>
      <c r="F347" s="3" t="s">
        <v>36</v>
      </c>
      <c r="G347" s="3">
        <v>1</v>
      </c>
      <c r="H347">
        <v>2</v>
      </c>
      <c r="I347" s="3">
        <v>1</v>
      </c>
      <c r="J347" s="3" t="s">
        <v>15</v>
      </c>
      <c r="K347" s="3" t="s">
        <v>160</v>
      </c>
      <c r="L347" s="3">
        <v>-100</v>
      </c>
    </row>
    <row r="348" spans="1:12" x14ac:dyDescent="0.25">
      <c r="A348" s="44">
        <f t="shared" si="6"/>
        <v>1</v>
      </c>
      <c r="B348" s="50" t="str">
        <f>VLOOKUP(K348,Lookup!$A$1:$D$34,4,FALSE)</f>
        <v>a_open</v>
      </c>
      <c r="C348" s="9">
        <v>43132</v>
      </c>
      <c r="D348" s="3">
        <v>2018</v>
      </c>
      <c r="E348" s="3">
        <v>2</v>
      </c>
      <c r="F348" s="3" t="s">
        <v>36</v>
      </c>
      <c r="G348" s="3">
        <v>1</v>
      </c>
      <c r="H348">
        <v>2</v>
      </c>
      <c r="I348" s="3">
        <v>1</v>
      </c>
      <c r="J348" s="3" t="s">
        <v>15</v>
      </c>
      <c r="K348" s="3" t="s">
        <v>14</v>
      </c>
      <c r="L348" s="3">
        <v>100</v>
      </c>
    </row>
    <row r="349" spans="1:12" x14ac:dyDescent="0.25">
      <c r="A349" s="44">
        <f t="shared" si="6"/>
        <v>1</v>
      </c>
      <c r="B349" s="50" t="str">
        <f>VLOOKUP(K349,Lookup!$A$1:$D$34,4,FALSE)</f>
        <v>za_re-measure_no_migr</v>
      </c>
      <c r="C349" s="9">
        <v>43160</v>
      </c>
      <c r="D349" s="3">
        <v>2018</v>
      </c>
      <c r="E349" s="3">
        <v>3</v>
      </c>
      <c r="F349" s="3" t="s">
        <v>36</v>
      </c>
      <c r="G349" s="3">
        <v>2</v>
      </c>
      <c r="H349">
        <v>2</v>
      </c>
      <c r="I349" s="3">
        <v>2</v>
      </c>
      <c r="J349" s="3" t="s">
        <v>8</v>
      </c>
      <c r="K349" s="3" t="s">
        <v>11</v>
      </c>
      <c r="L349" s="3">
        <v>-0.02</v>
      </c>
    </row>
    <row r="350" spans="1:12" x14ac:dyDescent="0.25">
      <c r="A350" s="44">
        <f t="shared" si="6"/>
        <v>1</v>
      </c>
      <c r="B350" s="50" t="str">
        <f>VLOOKUP(K350,Lookup!$A$1:$D$34,4,FALSE)</f>
        <v>a_open</v>
      </c>
      <c r="C350" s="9">
        <v>43160</v>
      </c>
      <c r="D350" s="3">
        <v>2018</v>
      </c>
      <c r="E350" s="3">
        <v>3</v>
      </c>
      <c r="F350" s="3" t="s">
        <v>36</v>
      </c>
      <c r="G350" s="3">
        <v>2</v>
      </c>
      <c r="H350">
        <v>2</v>
      </c>
      <c r="I350" s="3">
        <v>2</v>
      </c>
      <c r="J350" s="3" t="s">
        <v>8</v>
      </c>
      <c r="K350" s="3" t="s">
        <v>14</v>
      </c>
      <c r="L350" s="3">
        <v>0.02</v>
      </c>
    </row>
    <row r="351" spans="1:12" x14ac:dyDescent="0.25">
      <c r="A351" s="44">
        <f t="shared" si="6"/>
        <v>1</v>
      </c>
      <c r="B351" s="50" t="str">
        <f>VLOOKUP(K351,Lookup!$A$1:$D$34,4,FALSE)</f>
        <v>v_repay_rvlv</v>
      </c>
      <c r="C351" s="9">
        <v>43160</v>
      </c>
      <c r="D351" s="3">
        <v>2018</v>
      </c>
      <c r="E351" s="3">
        <v>3</v>
      </c>
      <c r="F351" s="3" t="s">
        <v>36</v>
      </c>
      <c r="G351" s="3">
        <v>2</v>
      </c>
      <c r="H351">
        <v>2</v>
      </c>
      <c r="I351" s="3">
        <v>2</v>
      </c>
      <c r="J351" s="3" t="s">
        <v>15</v>
      </c>
      <c r="K351" s="3" t="s">
        <v>10</v>
      </c>
      <c r="L351" s="3">
        <v>1500</v>
      </c>
    </row>
    <row r="352" spans="1:12" x14ac:dyDescent="0.25">
      <c r="A352" s="44">
        <f t="shared" si="6"/>
        <v>1</v>
      </c>
      <c r="B352" s="50" t="str">
        <f>VLOOKUP(K352,Lookup!$A$1:$D$34,4,FALSE)</f>
        <v>a_open</v>
      </c>
      <c r="C352" s="9">
        <v>43160</v>
      </c>
      <c r="D352" s="3">
        <v>2018</v>
      </c>
      <c r="E352" s="3">
        <v>3</v>
      </c>
      <c r="F352" s="3" t="s">
        <v>36</v>
      </c>
      <c r="G352" s="3">
        <v>2</v>
      </c>
      <c r="H352">
        <v>2</v>
      </c>
      <c r="I352" s="3">
        <v>2</v>
      </c>
      <c r="J352" s="3" t="s">
        <v>15</v>
      </c>
      <c r="K352" s="3" t="s">
        <v>14</v>
      </c>
      <c r="L352" s="3">
        <v>-1500</v>
      </c>
    </row>
    <row r="353" spans="1:12" x14ac:dyDescent="0.25">
      <c r="A353" s="44">
        <f t="shared" si="6"/>
        <v>1</v>
      </c>
      <c r="B353" s="50" t="str">
        <f>VLOOKUP(K353,Lookup!$A$1:$D$34,4,FALSE)</f>
        <v>zf_close</v>
      </c>
      <c r="C353" s="9">
        <v>43132</v>
      </c>
      <c r="D353" s="3">
        <v>2018</v>
      </c>
      <c r="E353" s="3">
        <v>2</v>
      </c>
      <c r="F353" s="3" t="s">
        <v>37</v>
      </c>
      <c r="G353" s="3">
        <v>1</v>
      </c>
      <c r="H353">
        <v>1</v>
      </c>
      <c r="I353" s="3">
        <v>1</v>
      </c>
      <c r="J353" s="3" t="s">
        <v>8</v>
      </c>
      <c r="K353" s="3" t="s">
        <v>9</v>
      </c>
      <c r="L353" s="3">
        <v>-9.5</v>
      </c>
    </row>
    <row r="354" spans="1:12" x14ac:dyDescent="0.25">
      <c r="A354" s="44">
        <f t="shared" si="6"/>
        <v>1</v>
      </c>
      <c r="B354" s="50" t="str">
        <f>VLOOKUP(K354,Lookup!$A$1:$D$34,4,FALSE)</f>
        <v>w_drawdown_term</v>
      </c>
      <c r="C354" s="9">
        <v>43132</v>
      </c>
      <c r="D354" s="3">
        <v>2018</v>
      </c>
      <c r="E354" s="3">
        <v>2</v>
      </c>
      <c r="F354" s="3" t="s">
        <v>37</v>
      </c>
      <c r="G354" s="3">
        <v>1</v>
      </c>
      <c r="H354">
        <v>1</v>
      </c>
      <c r="I354" s="3">
        <v>1</v>
      </c>
      <c r="J354" s="3" t="s">
        <v>8</v>
      </c>
      <c r="K354" s="3" t="s">
        <v>32</v>
      </c>
      <c r="L354" s="3">
        <v>-9.5</v>
      </c>
    </row>
    <row r="355" spans="1:12" x14ac:dyDescent="0.25">
      <c r="A355" s="44">
        <f t="shared" si="6"/>
        <v>1</v>
      </c>
      <c r="B355" s="50" t="str">
        <f>VLOOKUP(K355,Lookup!$A$1:$D$34,4,FALSE)</f>
        <v>zf_close</v>
      </c>
      <c r="C355" s="9">
        <v>43132</v>
      </c>
      <c r="D355" s="3">
        <v>2018</v>
      </c>
      <c r="E355" s="3">
        <v>2</v>
      </c>
      <c r="F355" s="3" t="s">
        <v>37</v>
      </c>
      <c r="G355" s="3">
        <v>1</v>
      </c>
      <c r="H355">
        <v>1</v>
      </c>
      <c r="I355" s="3">
        <v>1</v>
      </c>
      <c r="J355" s="3" t="s">
        <v>15</v>
      </c>
      <c r="K355" s="3" t="s">
        <v>9</v>
      </c>
      <c r="L355" s="3">
        <v>900</v>
      </c>
    </row>
    <row r="356" spans="1:12" x14ac:dyDescent="0.25">
      <c r="A356" s="44">
        <f t="shared" si="6"/>
        <v>1</v>
      </c>
      <c r="B356" s="50" t="str">
        <f>VLOOKUP(K356,Lookup!$A$1:$D$34,4,FALSE)</f>
        <v>w_drawdown_term</v>
      </c>
      <c r="C356" s="9">
        <v>43132</v>
      </c>
      <c r="D356" s="3">
        <v>2018</v>
      </c>
      <c r="E356" s="3">
        <v>2</v>
      </c>
      <c r="F356" s="3" t="s">
        <v>37</v>
      </c>
      <c r="G356" s="3">
        <v>1</v>
      </c>
      <c r="H356">
        <v>1</v>
      </c>
      <c r="I356" s="3">
        <v>1</v>
      </c>
      <c r="J356" s="3" t="s">
        <v>15</v>
      </c>
      <c r="K356" s="3" t="s">
        <v>32</v>
      </c>
      <c r="L356" s="3">
        <v>950</v>
      </c>
    </row>
    <row r="357" spans="1:12" x14ac:dyDescent="0.25">
      <c r="A357" s="44">
        <f t="shared" si="6"/>
        <v>1</v>
      </c>
      <c r="B357" s="50" t="str">
        <f>VLOOKUP(K357,Lookup!$A$1:$D$34,4,FALSE)</f>
        <v>zd_other</v>
      </c>
      <c r="C357" s="9">
        <v>43132</v>
      </c>
      <c r="D357" s="3">
        <v>2018</v>
      </c>
      <c r="E357" s="3">
        <v>2</v>
      </c>
      <c r="F357" s="3" t="s">
        <v>37</v>
      </c>
      <c r="G357" s="3">
        <v>1</v>
      </c>
      <c r="H357">
        <v>1</v>
      </c>
      <c r="I357" s="3">
        <v>1</v>
      </c>
      <c r="J357" s="3" t="s">
        <v>15</v>
      </c>
      <c r="K357" s="3" t="s">
        <v>18</v>
      </c>
      <c r="L357" s="3">
        <v>-50</v>
      </c>
    </row>
    <row r="358" spans="1:12" x14ac:dyDescent="0.25">
      <c r="A358" s="44">
        <f t="shared" si="6"/>
        <v>1</v>
      </c>
      <c r="B358" s="50" t="str">
        <f>VLOOKUP(K358,Lookup!$A$1:$D$34,4,FALSE)</f>
        <v>z_repay_term_final</v>
      </c>
      <c r="C358" s="9">
        <v>43160</v>
      </c>
      <c r="D358" s="3">
        <v>2018</v>
      </c>
      <c r="E358" s="3">
        <v>3</v>
      </c>
      <c r="F358" s="3" t="s">
        <v>37</v>
      </c>
      <c r="G358" s="3">
        <v>1</v>
      </c>
      <c r="H358">
        <v>1</v>
      </c>
      <c r="I358" s="3">
        <v>1</v>
      </c>
      <c r="J358" s="3" t="s">
        <v>8</v>
      </c>
      <c r="K358" s="3" t="s">
        <v>17</v>
      </c>
      <c r="L358" s="3">
        <v>9.5</v>
      </c>
    </row>
    <row r="359" spans="1:12" x14ac:dyDescent="0.25">
      <c r="A359" s="44">
        <f t="shared" si="6"/>
        <v>1</v>
      </c>
      <c r="B359" s="50" t="str">
        <f>VLOOKUP(K359,Lookup!$A$1:$D$34,4,FALSE)</f>
        <v>a_open</v>
      </c>
      <c r="C359" s="9">
        <v>43160</v>
      </c>
      <c r="D359" s="3">
        <v>2018</v>
      </c>
      <c r="E359" s="3">
        <v>3</v>
      </c>
      <c r="F359" s="3" t="s">
        <v>37</v>
      </c>
      <c r="G359" s="3">
        <v>1</v>
      </c>
      <c r="H359">
        <v>1</v>
      </c>
      <c r="I359" s="3">
        <v>1</v>
      </c>
      <c r="J359" s="3" t="s">
        <v>8</v>
      </c>
      <c r="K359" s="3" t="s">
        <v>14</v>
      </c>
      <c r="L359" s="3">
        <v>-9.5</v>
      </c>
    </row>
    <row r="360" spans="1:12" x14ac:dyDescent="0.25">
      <c r="A360" s="44">
        <f t="shared" si="6"/>
        <v>1</v>
      </c>
      <c r="B360" s="50" t="str">
        <f>VLOOKUP(K360,Lookup!$A$1:$D$34,4,FALSE)</f>
        <v>zd_other</v>
      </c>
      <c r="C360" s="9">
        <v>43160</v>
      </c>
      <c r="D360" s="3">
        <v>2018</v>
      </c>
      <c r="E360" s="3">
        <v>3</v>
      </c>
      <c r="F360" s="3" t="s">
        <v>37</v>
      </c>
      <c r="G360" s="3">
        <v>1</v>
      </c>
      <c r="H360">
        <v>1</v>
      </c>
      <c r="I360" s="3">
        <v>1</v>
      </c>
      <c r="J360" s="3" t="s">
        <v>15</v>
      </c>
      <c r="K360" s="3" t="s">
        <v>18</v>
      </c>
      <c r="L360" s="3">
        <v>50</v>
      </c>
    </row>
    <row r="361" spans="1:12" x14ac:dyDescent="0.25">
      <c r="A361" s="44">
        <f t="shared" si="6"/>
        <v>1</v>
      </c>
      <c r="B361" s="50" t="str">
        <f>VLOOKUP(K361,Lookup!$A$1:$D$34,4,FALSE)</f>
        <v>z_repay_term_final</v>
      </c>
      <c r="C361" s="9">
        <v>43160</v>
      </c>
      <c r="D361" s="3">
        <v>2018</v>
      </c>
      <c r="E361" s="3">
        <v>3</v>
      </c>
      <c r="F361" s="3" t="s">
        <v>37</v>
      </c>
      <c r="G361" s="3">
        <v>1</v>
      </c>
      <c r="H361">
        <v>1</v>
      </c>
      <c r="I361" s="3">
        <v>1</v>
      </c>
      <c r="J361" s="3" t="s">
        <v>15</v>
      </c>
      <c r="K361" s="3" t="s">
        <v>17</v>
      </c>
      <c r="L361" s="3">
        <v>-950</v>
      </c>
    </row>
    <row r="362" spans="1:12" x14ac:dyDescent="0.25">
      <c r="A362" s="44">
        <f t="shared" si="6"/>
        <v>1</v>
      </c>
      <c r="B362" s="50" t="str">
        <f>VLOOKUP(K362,Lookup!$A$1:$D$34,4,FALSE)</f>
        <v>a_open</v>
      </c>
      <c r="C362" s="9">
        <v>43160</v>
      </c>
      <c r="D362" s="3">
        <v>2018</v>
      </c>
      <c r="E362" s="3">
        <v>3</v>
      </c>
      <c r="F362" s="3" t="s">
        <v>37</v>
      </c>
      <c r="G362" s="3">
        <v>1</v>
      </c>
      <c r="H362">
        <v>1</v>
      </c>
      <c r="I362" s="3">
        <v>1</v>
      </c>
      <c r="J362" s="3" t="s">
        <v>15</v>
      </c>
      <c r="K362" s="3" t="s">
        <v>14</v>
      </c>
      <c r="L362" s="3">
        <v>900</v>
      </c>
    </row>
    <row r="363" spans="1:12" x14ac:dyDescent="0.25">
      <c r="A363" s="44">
        <f t="shared" si="6"/>
        <v>1</v>
      </c>
      <c r="B363" s="50" t="str">
        <f>VLOOKUP(K363,Lookup!$A$1:$D$34,4,FALSE)</f>
        <v>zf_close</v>
      </c>
      <c r="C363" s="9">
        <v>43101</v>
      </c>
      <c r="D363" s="3">
        <v>2018</v>
      </c>
      <c r="E363" s="3">
        <v>1</v>
      </c>
      <c r="F363" s="3" t="s">
        <v>38</v>
      </c>
      <c r="G363" s="3">
        <v>1</v>
      </c>
      <c r="H363">
        <v>5</v>
      </c>
      <c r="I363" s="3">
        <v>5</v>
      </c>
      <c r="J363" s="3" t="s">
        <v>8</v>
      </c>
      <c r="K363" s="3" t="s">
        <v>9</v>
      </c>
      <c r="L363" s="3">
        <v>-225</v>
      </c>
    </row>
    <row r="364" spans="1:12" x14ac:dyDescent="0.25">
      <c r="A364" s="44">
        <f t="shared" si="6"/>
        <v>1</v>
      </c>
      <c r="B364" s="50" t="str">
        <f>VLOOKUP(K364,Lookup!$A$1:$D$34,4,FALSE)</f>
        <v>v_drawdown_rvlv</v>
      </c>
      <c r="C364" s="9">
        <v>43101</v>
      </c>
      <c r="D364" s="3">
        <v>2018</v>
      </c>
      <c r="E364" s="3">
        <v>1</v>
      </c>
      <c r="F364" s="3" t="s">
        <v>38</v>
      </c>
      <c r="G364" s="3">
        <v>1</v>
      </c>
      <c r="H364">
        <v>5</v>
      </c>
      <c r="I364" s="3">
        <v>1</v>
      </c>
      <c r="J364" s="3" t="s">
        <v>8</v>
      </c>
      <c r="K364" s="3" t="s">
        <v>24</v>
      </c>
      <c r="L364" s="3">
        <v>-225</v>
      </c>
    </row>
    <row r="365" spans="1:12" x14ac:dyDescent="0.25">
      <c r="A365" s="44">
        <f t="shared" si="6"/>
        <v>1</v>
      </c>
      <c r="B365" s="50" t="str">
        <f>VLOOKUP(K365,Lookup!$A$1:$D$34,4,FALSE)</f>
        <v>e_tfr.1.5</v>
      </c>
      <c r="C365" s="9">
        <v>43101</v>
      </c>
      <c r="D365" s="3">
        <v>2018</v>
      </c>
      <c r="E365" s="3">
        <v>1</v>
      </c>
      <c r="F365" s="3" t="s">
        <v>38</v>
      </c>
      <c r="G365" s="3">
        <v>1</v>
      </c>
      <c r="H365">
        <v>5</v>
      </c>
      <c r="I365" s="3">
        <v>5</v>
      </c>
      <c r="J365" s="3" t="s">
        <v>8</v>
      </c>
      <c r="K365" s="3" t="s">
        <v>163</v>
      </c>
      <c r="L365" s="3">
        <v>-225</v>
      </c>
    </row>
    <row r="366" spans="1:12" x14ac:dyDescent="0.25">
      <c r="A366" s="44">
        <f t="shared" si="6"/>
        <v>1</v>
      </c>
      <c r="B366" s="50" t="str">
        <f>VLOOKUP(K366,Lookup!$A$1:$D$34,4,FALSE)</f>
        <v>e_tfr.1.5</v>
      </c>
      <c r="C366" s="9">
        <v>43101</v>
      </c>
      <c r="D366" s="3">
        <v>2018</v>
      </c>
      <c r="E366" s="3">
        <v>1</v>
      </c>
      <c r="F366" s="3" t="s">
        <v>38</v>
      </c>
      <c r="G366" s="3">
        <v>1</v>
      </c>
      <c r="H366">
        <v>5</v>
      </c>
      <c r="I366" s="3">
        <v>1</v>
      </c>
      <c r="J366" s="3" t="s">
        <v>8</v>
      </c>
      <c r="K366" s="3" t="s">
        <v>163</v>
      </c>
      <c r="L366" s="3">
        <v>225</v>
      </c>
    </row>
    <row r="367" spans="1:12" x14ac:dyDescent="0.25">
      <c r="A367" s="44">
        <f t="shared" si="6"/>
        <v>1</v>
      </c>
      <c r="B367" s="50" t="str">
        <f>VLOOKUP(K367,Lookup!$A$1:$D$34,4,FALSE)</f>
        <v>zf_close</v>
      </c>
      <c r="C367" s="9">
        <v>43101</v>
      </c>
      <c r="D367" s="3">
        <v>2018</v>
      </c>
      <c r="E367" s="3">
        <v>1</v>
      </c>
      <c r="F367" s="3" t="s">
        <v>38</v>
      </c>
      <c r="G367" s="3">
        <v>1</v>
      </c>
      <c r="H367">
        <v>5</v>
      </c>
      <c r="I367" s="3">
        <v>5</v>
      </c>
      <c r="J367" s="3" t="s">
        <v>15</v>
      </c>
      <c r="K367" s="3" t="s">
        <v>9</v>
      </c>
      <c r="L367" s="3">
        <v>1000</v>
      </c>
    </row>
    <row r="368" spans="1:12" x14ac:dyDescent="0.25">
      <c r="A368" s="44">
        <f t="shared" si="6"/>
        <v>1</v>
      </c>
      <c r="B368" s="50" t="str">
        <f>VLOOKUP(K368,Lookup!$A$1:$D$34,4,FALSE)</f>
        <v>v_drawdown_rvlv</v>
      </c>
      <c r="C368" s="9">
        <v>43101</v>
      </c>
      <c r="D368" s="3">
        <v>2018</v>
      </c>
      <c r="E368" s="3">
        <v>1</v>
      </c>
      <c r="F368" s="3" t="s">
        <v>38</v>
      </c>
      <c r="G368" s="3">
        <v>1</v>
      </c>
      <c r="H368">
        <v>5</v>
      </c>
      <c r="I368" s="3">
        <v>1</v>
      </c>
      <c r="J368" s="3" t="s">
        <v>15</v>
      </c>
      <c r="K368" s="3" t="s">
        <v>24</v>
      </c>
      <c r="L368" s="3">
        <v>450</v>
      </c>
    </row>
    <row r="369" spans="1:12" x14ac:dyDescent="0.25">
      <c r="A369" s="44">
        <f t="shared" si="6"/>
        <v>1</v>
      </c>
      <c r="B369" s="50" t="str">
        <f>VLOOKUP(K369,Lookup!$A$1:$D$34,4,FALSE)</f>
        <v>zd_other</v>
      </c>
      <c r="C369" s="9">
        <v>43101</v>
      </c>
      <c r="D369" s="3">
        <v>2018</v>
      </c>
      <c r="E369" s="3">
        <v>1</v>
      </c>
      <c r="F369" s="3" t="s">
        <v>38</v>
      </c>
      <c r="G369" s="3">
        <v>1</v>
      </c>
      <c r="H369">
        <v>5</v>
      </c>
      <c r="I369" s="3">
        <v>5</v>
      </c>
      <c r="J369" s="3" t="s">
        <v>15</v>
      </c>
      <c r="K369" s="3" t="s">
        <v>18</v>
      </c>
      <c r="L369" s="3">
        <v>550</v>
      </c>
    </row>
    <row r="370" spans="1:12" x14ac:dyDescent="0.25">
      <c r="A370" s="44">
        <f t="shared" si="6"/>
        <v>1</v>
      </c>
      <c r="B370" s="50" t="str">
        <f>VLOOKUP(K370,Lookup!$A$1:$D$34,4,FALSE)</f>
        <v>e_tfr.1.5</v>
      </c>
      <c r="C370" s="9">
        <v>43101</v>
      </c>
      <c r="D370" s="3">
        <v>2018</v>
      </c>
      <c r="E370" s="3">
        <v>1</v>
      </c>
      <c r="F370" s="3" t="s">
        <v>38</v>
      </c>
      <c r="G370" s="3">
        <v>1</v>
      </c>
      <c r="H370">
        <v>5</v>
      </c>
      <c r="I370" s="3">
        <v>5</v>
      </c>
      <c r="J370" s="3" t="s">
        <v>15</v>
      </c>
      <c r="K370" s="3" t="s">
        <v>163</v>
      </c>
      <c r="L370" s="3">
        <v>450</v>
      </c>
    </row>
    <row r="371" spans="1:12" x14ac:dyDescent="0.25">
      <c r="A371" s="44">
        <f t="shared" si="6"/>
        <v>1</v>
      </c>
      <c r="B371" s="50" t="str">
        <f>VLOOKUP(K371,Lookup!$A$1:$D$34,4,FALSE)</f>
        <v>e_tfr.1.5</v>
      </c>
      <c r="C371" s="9">
        <v>43101</v>
      </c>
      <c r="D371" s="3">
        <v>2018</v>
      </c>
      <c r="E371" s="3">
        <v>1</v>
      </c>
      <c r="F371" s="3" t="s">
        <v>38</v>
      </c>
      <c r="G371" s="3">
        <v>1</v>
      </c>
      <c r="H371">
        <v>5</v>
      </c>
      <c r="I371" s="3">
        <v>1</v>
      </c>
      <c r="J371" s="3" t="s">
        <v>15</v>
      </c>
      <c r="K371" s="3" t="s">
        <v>163</v>
      </c>
      <c r="L371" s="3">
        <v>-450</v>
      </c>
    </row>
    <row r="372" spans="1:12" x14ac:dyDescent="0.25">
      <c r="A372" s="44">
        <f t="shared" si="6"/>
        <v>1</v>
      </c>
      <c r="B372" s="50" t="str">
        <f>VLOOKUP(K372,Lookup!$A$1:$D$34,4,FALSE)</f>
        <v>zf_close</v>
      </c>
      <c r="C372" s="9">
        <v>43132</v>
      </c>
      <c r="D372" s="3">
        <v>2018</v>
      </c>
      <c r="E372" s="3">
        <v>2</v>
      </c>
      <c r="F372" s="3" t="s">
        <v>38</v>
      </c>
      <c r="G372" s="3">
        <v>5</v>
      </c>
      <c r="H372">
        <v>2</v>
      </c>
      <c r="I372" s="3">
        <v>2</v>
      </c>
      <c r="J372" s="3" t="s">
        <v>8</v>
      </c>
      <c r="K372" s="3" t="s">
        <v>9</v>
      </c>
      <c r="L372" s="3">
        <v>-55</v>
      </c>
    </row>
    <row r="373" spans="1:12" x14ac:dyDescent="0.25">
      <c r="A373" s="44">
        <f t="shared" si="6"/>
        <v>1</v>
      </c>
      <c r="B373" s="50" t="str">
        <f>VLOOKUP(K373,Lookup!$A$1:$D$34,4,FALSE)</f>
        <v>v_drawdown_rvlv</v>
      </c>
      <c r="C373" s="9">
        <v>43132</v>
      </c>
      <c r="D373" s="3">
        <v>2018</v>
      </c>
      <c r="E373" s="3">
        <v>2</v>
      </c>
      <c r="F373" s="3" t="s">
        <v>38</v>
      </c>
      <c r="G373" s="3">
        <v>5</v>
      </c>
      <c r="H373">
        <v>2</v>
      </c>
      <c r="I373" s="3">
        <v>2</v>
      </c>
      <c r="J373" s="3" t="s">
        <v>8</v>
      </c>
      <c r="K373" s="3" t="s">
        <v>24</v>
      </c>
      <c r="L373" s="3">
        <v>-50</v>
      </c>
    </row>
    <row r="374" spans="1:12" x14ac:dyDescent="0.25">
      <c r="A374" s="44">
        <f t="shared" si="6"/>
        <v>1</v>
      </c>
      <c r="B374" s="50" t="str">
        <f>VLOOKUP(K374,Lookup!$A$1:$D$34,4,FALSE)</f>
        <v>zb_re-measure_migr</v>
      </c>
      <c r="C374" s="9">
        <v>43132</v>
      </c>
      <c r="D374" s="3">
        <v>2018</v>
      </c>
      <c r="E374" s="3">
        <v>2</v>
      </c>
      <c r="F374" s="3" t="s">
        <v>38</v>
      </c>
      <c r="G374" s="3">
        <v>5</v>
      </c>
      <c r="H374">
        <v>2</v>
      </c>
      <c r="I374" s="3">
        <v>2</v>
      </c>
      <c r="J374" s="3" t="s">
        <v>8</v>
      </c>
      <c r="K374" s="3" t="s">
        <v>12</v>
      </c>
      <c r="L374" s="3">
        <v>220</v>
      </c>
    </row>
    <row r="375" spans="1:12" x14ac:dyDescent="0.25">
      <c r="A375" s="44">
        <f t="shared" si="6"/>
        <v>1</v>
      </c>
      <c r="B375" s="50" t="str">
        <f>VLOOKUP(K375,Lookup!$A$1:$D$34,4,FALSE)</f>
        <v>o_tfr.5.2</v>
      </c>
      <c r="C375" s="9">
        <v>43132</v>
      </c>
      <c r="D375" s="3">
        <v>2018</v>
      </c>
      <c r="E375" s="3">
        <v>2</v>
      </c>
      <c r="F375" s="3" t="s">
        <v>38</v>
      </c>
      <c r="G375" s="3">
        <v>5</v>
      </c>
      <c r="H375">
        <v>2</v>
      </c>
      <c r="I375" s="3">
        <v>2</v>
      </c>
      <c r="J375" s="3" t="s">
        <v>8</v>
      </c>
      <c r="K375" s="3" t="s">
        <v>161</v>
      </c>
      <c r="L375" s="3">
        <v>-225</v>
      </c>
    </row>
    <row r="376" spans="1:12" x14ac:dyDescent="0.25">
      <c r="A376" s="44">
        <f t="shared" si="6"/>
        <v>1</v>
      </c>
      <c r="B376" s="50" t="str">
        <f>VLOOKUP(K376,Lookup!$A$1:$D$34,4,FALSE)</f>
        <v>o_tfr.5.2</v>
      </c>
      <c r="C376" s="9">
        <v>43132</v>
      </c>
      <c r="D376" s="3">
        <v>2018</v>
      </c>
      <c r="E376" s="3">
        <v>2</v>
      </c>
      <c r="F376" s="3" t="s">
        <v>38</v>
      </c>
      <c r="G376" s="3">
        <v>5</v>
      </c>
      <c r="H376">
        <v>2</v>
      </c>
      <c r="I376" s="3">
        <v>5</v>
      </c>
      <c r="J376" s="3" t="s">
        <v>8</v>
      </c>
      <c r="K376" s="3" t="s">
        <v>161</v>
      </c>
      <c r="L376" s="3">
        <v>225</v>
      </c>
    </row>
    <row r="377" spans="1:12" x14ac:dyDescent="0.25">
      <c r="A377" s="44">
        <f t="shared" si="6"/>
        <v>1</v>
      </c>
      <c r="B377" s="50" t="str">
        <f>VLOOKUP(K377,Lookup!$A$1:$D$34,4,FALSE)</f>
        <v>a_open</v>
      </c>
      <c r="C377" s="9">
        <v>43132</v>
      </c>
      <c r="D377" s="3">
        <v>2018</v>
      </c>
      <c r="E377" s="3">
        <v>2</v>
      </c>
      <c r="F377" s="3" t="s">
        <v>38</v>
      </c>
      <c r="G377" s="3">
        <v>5</v>
      </c>
      <c r="H377">
        <v>2</v>
      </c>
      <c r="I377" s="3">
        <v>5</v>
      </c>
      <c r="J377" s="3" t="s">
        <v>8</v>
      </c>
      <c r="K377" s="3" t="s">
        <v>14</v>
      </c>
      <c r="L377" s="3">
        <v>-225</v>
      </c>
    </row>
    <row r="378" spans="1:12" x14ac:dyDescent="0.25">
      <c r="A378" s="44">
        <f t="shared" si="6"/>
        <v>1</v>
      </c>
      <c r="B378" s="50" t="str">
        <f>VLOOKUP(K378,Lookup!$A$1:$D$34,4,FALSE)</f>
        <v>zf_close</v>
      </c>
      <c r="C378" s="9">
        <v>43132</v>
      </c>
      <c r="D378" s="3">
        <v>2018</v>
      </c>
      <c r="E378" s="3">
        <v>2</v>
      </c>
      <c r="F378" s="3" t="s">
        <v>38</v>
      </c>
      <c r="G378" s="3">
        <v>5</v>
      </c>
      <c r="H378">
        <v>2</v>
      </c>
      <c r="I378" s="3">
        <v>2</v>
      </c>
      <c r="J378" s="3" t="s">
        <v>15</v>
      </c>
      <c r="K378" s="3" t="s">
        <v>9</v>
      </c>
      <c r="L378" s="3">
        <v>500</v>
      </c>
    </row>
    <row r="379" spans="1:12" x14ac:dyDescent="0.25">
      <c r="A379" s="44">
        <f t="shared" si="6"/>
        <v>1</v>
      </c>
      <c r="B379" s="50" t="str">
        <f>VLOOKUP(K379,Lookup!$A$1:$D$34,4,FALSE)</f>
        <v>v_drawdown_rvlv</v>
      </c>
      <c r="C379" s="9">
        <v>43132</v>
      </c>
      <c r="D379" s="3">
        <v>2018</v>
      </c>
      <c r="E379" s="3">
        <v>2</v>
      </c>
      <c r="F379" s="3" t="s">
        <v>38</v>
      </c>
      <c r="G379" s="3">
        <v>5</v>
      </c>
      <c r="H379">
        <v>2</v>
      </c>
      <c r="I379" s="3">
        <v>2</v>
      </c>
      <c r="J379" s="3" t="s">
        <v>15</v>
      </c>
      <c r="K379" s="3" t="s">
        <v>24</v>
      </c>
      <c r="L379" s="3">
        <v>100</v>
      </c>
    </row>
    <row r="380" spans="1:12" x14ac:dyDescent="0.25">
      <c r="A380" s="44">
        <f t="shared" si="6"/>
        <v>1</v>
      </c>
      <c r="B380" s="50" t="str">
        <f>VLOOKUP(K380,Lookup!$A$1:$D$34,4,FALSE)</f>
        <v>zd_other</v>
      </c>
      <c r="C380" s="9">
        <v>43132</v>
      </c>
      <c r="D380" s="3">
        <v>2018</v>
      </c>
      <c r="E380" s="3">
        <v>2</v>
      </c>
      <c r="F380" s="3" t="s">
        <v>38</v>
      </c>
      <c r="G380" s="3">
        <v>5</v>
      </c>
      <c r="H380">
        <v>2</v>
      </c>
      <c r="I380" s="3">
        <v>2</v>
      </c>
      <c r="J380" s="3" t="s">
        <v>15</v>
      </c>
      <c r="K380" s="3" t="s">
        <v>18</v>
      </c>
      <c r="L380" s="3">
        <v>-600</v>
      </c>
    </row>
    <row r="381" spans="1:12" x14ac:dyDescent="0.25">
      <c r="A381" s="44">
        <f t="shared" si="6"/>
        <v>1</v>
      </c>
      <c r="B381" s="50" t="str">
        <f>VLOOKUP(K381,Lookup!$A$1:$D$34,4,FALSE)</f>
        <v>o_tfr.5.2</v>
      </c>
      <c r="C381" s="9">
        <v>43132</v>
      </c>
      <c r="D381" s="3">
        <v>2018</v>
      </c>
      <c r="E381" s="3">
        <v>2</v>
      </c>
      <c r="F381" s="3" t="s">
        <v>38</v>
      </c>
      <c r="G381" s="3">
        <v>5</v>
      </c>
      <c r="H381">
        <v>2</v>
      </c>
      <c r="I381" s="3">
        <v>2</v>
      </c>
      <c r="J381" s="3" t="s">
        <v>15</v>
      </c>
      <c r="K381" s="3" t="s">
        <v>161</v>
      </c>
      <c r="L381" s="3">
        <v>1000</v>
      </c>
    </row>
    <row r="382" spans="1:12" x14ac:dyDescent="0.25">
      <c r="A382" s="44">
        <f t="shared" si="6"/>
        <v>1</v>
      </c>
      <c r="B382" s="50" t="str">
        <f>VLOOKUP(K382,Lookup!$A$1:$D$34,4,FALSE)</f>
        <v>o_tfr.5.2</v>
      </c>
      <c r="C382" s="9">
        <v>43132</v>
      </c>
      <c r="D382" s="3">
        <v>2018</v>
      </c>
      <c r="E382" s="3">
        <v>2</v>
      </c>
      <c r="F382" s="3" t="s">
        <v>38</v>
      </c>
      <c r="G382" s="3">
        <v>5</v>
      </c>
      <c r="H382">
        <v>2</v>
      </c>
      <c r="I382" s="3">
        <v>5</v>
      </c>
      <c r="J382" s="3" t="s">
        <v>15</v>
      </c>
      <c r="K382" s="3" t="s">
        <v>161</v>
      </c>
      <c r="L382" s="3">
        <v>-1000</v>
      </c>
    </row>
    <row r="383" spans="1:12" x14ac:dyDescent="0.25">
      <c r="A383" s="44">
        <f t="shared" si="6"/>
        <v>1</v>
      </c>
      <c r="B383" s="50" t="str">
        <f>VLOOKUP(K383,Lookup!$A$1:$D$34,4,FALSE)</f>
        <v>a_open</v>
      </c>
      <c r="C383" s="9">
        <v>43132</v>
      </c>
      <c r="D383" s="3">
        <v>2018</v>
      </c>
      <c r="E383" s="3">
        <v>2</v>
      </c>
      <c r="F383" s="3" t="s">
        <v>38</v>
      </c>
      <c r="G383" s="3">
        <v>5</v>
      </c>
      <c r="H383">
        <v>2</v>
      </c>
      <c r="I383" s="3">
        <v>5</v>
      </c>
      <c r="J383" s="3" t="s">
        <v>15</v>
      </c>
      <c r="K383" s="3" t="s">
        <v>14</v>
      </c>
      <c r="L383" s="3">
        <v>1000</v>
      </c>
    </row>
    <row r="384" spans="1:12" x14ac:dyDescent="0.25">
      <c r="A384" s="44">
        <f t="shared" si="6"/>
        <v>1</v>
      </c>
      <c r="B384" s="50" t="str">
        <f>VLOOKUP(K384,Lookup!$A$1:$D$34,4,FALSE)</f>
        <v>v_drawdown_rvlv</v>
      </c>
      <c r="C384" s="9">
        <v>43160</v>
      </c>
      <c r="D384" s="3">
        <v>2018</v>
      </c>
      <c r="E384" s="3">
        <v>3</v>
      </c>
      <c r="F384" s="3" t="s">
        <v>38</v>
      </c>
      <c r="G384" s="3">
        <v>2</v>
      </c>
      <c r="H384">
        <v>2</v>
      </c>
      <c r="I384" s="3">
        <v>2</v>
      </c>
      <c r="J384" s="3" t="s">
        <v>8</v>
      </c>
      <c r="K384" s="3" t="s">
        <v>24</v>
      </c>
      <c r="L384" s="3">
        <v>55</v>
      </c>
    </row>
    <row r="385" spans="1:12" x14ac:dyDescent="0.25">
      <c r="A385" s="44">
        <f t="shared" si="6"/>
        <v>1</v>
      </c>
      <c r="B385" s="50" t="str">
        <f>VLOOKUP(K385,Lookup!$A$1:$D$34,4,FALSE)</f>
        <v>a_open</v>
      </c>
      <c r="C385" s="9">
        <v>43160</v>
      </c>
      <c r="D385" s="3">
        <v>2018</v>
      </c>
      <c r="E385" s="3">
        <v>3</v>
      </c>
      <c r="F385" s="3" t="s">
        <v>38</v>
      </c>
      <c r="G385" s="3">
        <v>2</v>
      </c>
      <c r="H385">
        <v>2</v>
      </c>
      <c r="I385" s="3">
        <v>2</v>
      </c>
      <c r="J385" s="3" t="s">
        <v>8</v>
      </c>
      <c r="K385" s="3" t="s">
        <v>14</v>
      </c>
      <c r="L385" s="3">
        <v>-55</v>
      </c>
    </row>
    <row r="386" spans="1:12" x14ac:dyDescent="0.25">
      <c r="A386" s="44">
        <f t="shared" si="6"/>
        <v>1</v>
      </c>
      <c r="B386" s="50" t="str">
        <f>VLOOKUP(K386,Lookup!$A$1:$D$34,4,FALSE)</f>
        <v>v_drawdown_rvlv</v>
      </c>
      <c r="C386" s="9">
        <v>43160</v>
      </c>
      <c r="D386" s="3">
        <v>2018</v>
      </c>
      <c r="E386" s="3">
        <v>3</v>
      </c>
      <c r="F386" s="3" t="s">
        <v>38</v>
      </c>
      <c r="G386" s="3">
        <v>2</v>
      </c>
      <c r="H386">
        <v>2</v>
      </c>
      <c r="I386" s="3">
        <v>2</v>
      </c>
      <c r="J386" s="3" t="s">
        <v>15</v>
      </c>
      <c r="K386" s="3" t="s">
        <v>24</v>
      </c>
      <c r="L386" s="3">
        <v>-550</v>
      </c>
    </row>
    <row r="387" spans="1:12" x14ac:dyDescent="0.25">
      <c r="A387" s="44">
        <f t="shared" si="6"/>
        <v>1</v>
      </c>
      <c r="B387" s="50" t="str">
        <f>VLOOKUP(K387,Lookup!$A$1:$D$34,4,FALSE)</f>
        <v>zd_other</v>
      </c>
      <c r="C387" s="9">
        <v>43160</v>
      </c>
      <c r="D387" s="3">
        <v>2018</v>
      </c>
      <c r="E387" s="3">
        <v>3</v>
      </c>
      <c r="F387" s="3" t="s">
        <v>38</v>
      </c>
      <c r="G387" s="3">
        <v>2</v>
      </c>
      <c r="H387">
        <v>2</v>
      </c>
      <c r="I387" s="3">
        <v>2</v>
      </c>
      <c r="J387" s="3" t="s">
        <v>15</v>
      </c>
      <c r="K387" s="3" t="s">
        <v>18</v>
      </c>
      <c r="L387" s="3">
        <v>50</v>
      </c>
    </row>
    <row r="388" spans="1:12" x14ac:dyDescent="0.25">
      <c r="A388" s="44">
        <f t="shared" si="6"/>
        <v>1</v>
      </c>
      <c r="B388" s="50" t="str">
        <f>VLOOKUP(K388,Lookup!$A$1:$D$34,4,FALSE)</f>
        <v>a_open</v>
      </c>
      <c r="C388" s="9">
        <v>43160</v>
      </c>
      <c r="D388" s="3">
        <v>2018</v>
      </c>
      <c r="E388" s="3">
        <v>3</v>
      </c>
      <c r="F388" s="3" t="s">
        <v>38</v>
      </c>
      <c r="G388" s="3">
        <v>2</v>
      </c>
      <c r="H388">
        <v>2</v>
      </c>
      <c r="I388" s="3">
        <v>2</v>
      </c>
      <c r="J388" s="3" t="s">
        <v>15</v>
      </c>
      <c r="K388" s="3" t="s">
        <v>14</v>
      </c>
      <c r="L388" s="3">
        <v>500</v>
      </c>
    </row>
    <row r="389" spans="1:12" x14ac:dyDescent="0.25">
      <c r="A389" s="44">
        <f t="shared" si="6"/>
        <v>1</v>
      </c>
      <c r="B389" s="50" t="str">
        <f>VLOOKUP(K389,Lookup!$A$1:$D$34,4,FALSE)</f>
        <v>zf_close</v>
      </c>
      <c r="C389" s="9">
        <v>43101</v>
      </c>
      <c r="D389" s="3">
        <v>2018</v>
      </c>
      <c r="E389" s="3">
        <v>1</v>
      </c>
      <c r="F389" s="3" t="s">
        <v>39</v>
      </c>
      <c r="G389" s="3">
        <v>1</v>
      </c>
      <c r="H389">
        <v>5</v>
      </c>
      <c r="I389" s="3">
        <v>5</v>
      </c>
      <c r="J389" s="3" t="s">
        <v>8</v>
      </c>
      <c r="K389" s="3" t="s">
        <v>9</v>
      </c>
      <c r="L389" s="3">
        <v>-500</v>
      </c>
    </row>
    <row r="390" spans="1:12" x14ac:dyDescent="0.25">
      <c r="A390" s="44">
        <f t="shared" si="6"/>
        <v>1</v>
      </c>
      <c r="B390" s="50" t="str">
        <f>VLOOKUP(K390,Lookup!$A$1:$D$34,4,FALSE)</f>
        <v>w_drawdown_term</v>
      </c>
      <c r="C390" s="9">
        <v>43101</v>
      </c>
      <c r="D390" s="3">
        <v>2018</v>
      </c>
      <c r="E390" s="3">
        <v>1</v>
      </c>
      <c r="F390" s="3" t="s">
        <v>39</v>
      </c>
      <c r="G390" s="3">
        <v>1</v>
      </c>
      <c r="H390">
        <v>5</v>
      </c>
      <c r="I390" s="3">
        <v>1</v>
      </c>
      <c r="J390" s="3" t="s">
        <v>8</v>
      </c>
      <c r="K390" s="3" t="s">
        <v>32</v>
      </c>
      <c r="L390" s="3">
        <v>-500</v>
      </c>
    </row>
    <row r="391" spans="1:12" x14ac:dyDescent="0.25">
      <c r="A391" s="44">
        <f t="shared" si="6"/>
        <v>1</v>
      </c>
      <c r="B391" s="50" t="str">
        <f>VLOOKUP(K391,Lookup!$A$1:$D$34,4,FALSE)</f>
        <v>e_tfr.1.5</v>
      </c>
      <c r="C391" s="9">
        <v>43101</v>
      </c>
      <c r="D391" s="3">
        <v>2018</v>
      </c>
      <c r="E391" s="3">
        <v>1</v>
      </c>
      <c r="F391" s="3" t="s">
        <v>39</v>
      </c>
      <c r="G391" s="3">
        <v>1</v>
      </c>
      <c r="H391">
        <v>5</v>
      </c>
      <c r="I391" s="3">
        <v>5</v>
      </c>
      <c r="J391" s="3" t="s">
        <v>8</v>
      </c>
      <c r="K391" s="3" t="s">
        <v>163</v>
      </c>
      <c r="L391" s="3">
        <v>-500</v>
      </c>
    </row>
    <row r="392" spans="1:12" x14ac:dyDescent="0.25">
      <c r="A392" s="44">
        <f t="shared" ref="A392:A455" si="7">IF(OR(AND(C392=$A$1,J392="op"),AND(C392=$A$2,J392="cl"),AND(C392&gt;=$A$1,C392&lt;=$A$2,J392&lt;&gt;"op",J392&lt;&gt;"cl")),1,0)</f>
        <v>1</v>
      </c>
      <c r="B392" s="50" t="str">
        <f>VLOOKUP(K392,Lookup!$A$1:$D$34,4,FALSE)</f>
        <v>e_tfr.1.5</v>
      </c>
      <c r="C392" s="9">
        <v>43101</v>
      </c>
      <c r="D392" s="3">
        <v>2018</v>
      </c>
      <c r="E392" s="3">
        <v>1</v>
      </c>
      <c r="F392" s="3" t="s">
        <v>39</v>
      </c>
      <c r="G392" s="3">
        <v>1</v>
      </c>
      <c r="H392">
        <v>5</v>
      </c>
      <c r="I392" s="3">
        <v>1</v>
      </c>
      <c r="J392" s="3" t="s">
        <v>8</v>
      </c>
      <c r="K392" s="3" t="s">
        <v>163</v>
      </c>
      <c r="L392" s="3">
        <v>500</v>
      </c>
    </row>
    <row r="393" spans="1:12" x14ac:dyDescent="0.25">
      <c r="A393" s="44">
        <f t="shared" si="7"/>
        <v>1</v>
      </c>
      <c r="B393" s="50" t="str">
        <f>VLOOKUP(K393,Lookup!$A$1:$D$34,4,FALSE)</f>
        <v>zf_close</v>
      </c>
      <c r="C393" s="9">
        <v>43101</v>
      </c>
      <c r="D393" s="3">
        <v>2018</v>
      </c>
      <c r="E393" s="3">
        <v>1</v>
      </c>
      <c r="F393" s="3" t="s">
        <v>39</v>
      </c>
      <c r="G393" s="3">
        <v>1</v>
      </c>
      <c r="H393">
        <v>5</v>
      </c>
      <c r="I393" s="3">
        <v>5</v>
      </c>
      <c r="J393" s="3" t="s">
        <v>15</v>
      </c>
      <c r="K393" s="3" t="s">
        <v>9</v>
      </c>
      <c r="L393" s="3">
        <v>1000</v>
      </c>
    </row>
    <row r="394" spans="1:12" x14ac:dyDescent="0.25">
      <c r="A394" s="44">
        <f t="shared" si="7"/>
        <v>1</v>
      </c>
      <c r="B394" s="50" t="str">
        <f>VLOOKUP(K394,Lookup!$A$1:$D$34,4,FALSE)</f>
        <v>w_drawdown_term</v>
      </c>
      <c r="C394" s="9">
        <v>43101</v>
      </c>
      <c r="D394" s="3">
        <v>2018</v>
      </c>
      <c r="E394" s="3">
        <v>1</v>
      </c>
      <c r="F394" s="3" t="s">
        <v>39</v>
      </c>
      <c r="G394" s="3">
        <v>1</v>
      </c>
      <c r="H394">
        <v>5</v>
      </c>
      <c r="I394" s="3">
        <v>1</v>
      </c>
      <c r="J394" s="3" t="s">
        <v>15</v>
      </c>
      <c r="K394" s="3" t="s">
        <v>32</v>
      </c>
      <c r="L394" s="3">
        <v>1000</v>
      </c>
    </row>
    <row r="395" spans="1:12" x14ac:dyDescent="0.25">
      <c r="A395" s="44">
        <f t="shared" si="7"/>
        <v>1</v>
      </c>
      <c r="B395" s="50" t="str">
        <f>VLOOKUP(K395,Lookup!$A$1:$D$34,4,FALSE)</f>
        <v>e_tfr.1.5</v>
      </c>
      <c r="C395" s="9">
        <v>43101</v>
      </c>
      <c r="D395" s="3">
        <v>2018</v>
      </c>
      <c r="E395" s="3">
        <v>1</v>
      </c>
      <c r="F395" s="3" t="s">
        <v>39</v>
      </c>
      <c r="G395" s="3">
        <v>1</v>
      </c>
      <c r="H395">
        <v>5</v>
      </c>
      <c r="I395" s="3">
        <v>5</v>
      </c>
      <c r="J395" s="3" t="s">
        <v>15</v>
      </c>
      <c r="K395" s="3" t="s">
        <v>163</v>
      </c>
      <c r="L395" s="3">
        <v>1000</v>
      </c>
    </row>
    <row r="396" spans="1:12" x14ac:dyDescent="0.25">
      <c r="A396" s="44">
        <f t="shared" si="7"/>
        <v>1</v>
      </c>
      <c r="B396" s="50" t="str">
        <f>VLOOKUP(K396,Lookup!$A$1:$D$34,4,FALSE)</f>
        <v>e_tfr.1.5</v>
      </c>
      <c r="C396" s="9">
        <v>43101</v>
      </c>
      <c r="D396" s="3">
        <v>2018</v>
      </c>
      <c r="E396" s="3">
        <v>1</v>
      </c>
      <c r="F396" s="3" t="s">
        <v>39</v>
      </c>
      <c r="G396" s="3">
        <v>1</v>
      </c>
      <c r="H396">
        <v>5</v>
      </c>
      <c r="I396" s="3">
        <v>1</v>
      </c>
      <c r="J396" s="3" t="s">
        <v>15</v>
      </c>
      <c r="K396" s="3" t="s">
        <v>163</v>
      </c>
      <c r="L396" s="3">
        <v>-1000</v>
      </c>
    </row>
    <row r="397" spans="1:12" x14ac:dyDescent="0.25">
      <c r="A397" s="44">
        <f t="shared" si="7"/>
        <v>1</v>
      </c>
      <c r="B397" s="50" t="str">
        <f>VLOOKUP(K397,Lookup!$A$1:$D$34,4,FALSE)</f>
        <v>zf_close</v>
      </c>
      <c r="C397" s="9">
        <v>43132</v>
      </c>
      <c r="D397" s="3">
        <v>2018</v>
      </c>
      <c r="E397" s="3">
        <v>2</v>
      </c>
      <c r="F397" s="3" t="s">
        <v>39</v>
      </c>
      <c r="G397" s="3">
        <v>5</v>
      </c>
      <c r="H397">
        <v>2</v>
      </c>
      <c r="I397" s="3">
        <v>2</v>
      </c>
      <c r="J397" s="3" t="s">
        <v>8</v>
      </c>
      <c r="K397" s="3" t="s">
        <v>9</v>
      </c>
      <c r="L397" s="3">
        <v>-110</v>
      </c>
    </row>
    <row r="398" spans="1:12" x14ac:dyDescent="0.25">
      <c r="A398" s="44">
        <f t="shared" si="7"/>
        <v>1</v>
      </c>
      <c r="B398" s="50" t="str">
        <f>VLOOKUP(K398,Lookup!$A$1:$D$34,4,FALSE)</f>
        <v>y_repay_term</v>
      </c>
      <c r="C398" s="9">
        <v>43132</v>
      </c>
      <c r="D398" s="3">
        <v>2018</v>
      </c>
      <c r="E398" s="3">
        <v>2</v>
      </c>
      <c r="F398" s="3" t="s">
        <v>39</v>
      </c>
      <c r="G398" s="3">
        <v>5</v>
      </c>
      <c r="H398">
        <v>2</v>
      </c>
      <c r="I398" s="3">
        <v>5</v>
      </c>
      <c r="J398" s="3" t="s">
        <v>8</v>
      </c>
      <c r="K398" s="3" t="s">
        <v>21</v>
      </c>
      <c r="L398" s="3">
        <v>225</v>
      </c>
    </row>
    <row r="399" spans="1:12" x14ac:dyDescent="0.25">
      <c r="A399" s="44">
        <f t="shared" si="7"/>
        <v>1</v>
      </c>
      <c r="B399" s="50" t="str">
        <f>VLOOKUP(K399,Lookup!$A$1:$D$34,4,FALSE)</f>
        <v>zb_re-measure_migr</v>
      </c>
      <c r="C399" s="9">
        <v>43132</v>
      </c>
      <c r="D399" s="3">
        <v>2018</v>
      </c>
      <c r="E399" s="3">
        <v>2</v>
      </c>
      <c r="F399" s="3" t="s">
        <v>39</v>
      </c>
      <c r="G399" s="3">
        <v>5</v>
      </c>
      <c r="H399">
        <v>2</v>
      </c>
      <c r="I399" s="3">
        <v>2</v>
      </c>
      <c r="J399" s="3" t="s">
        <v>8</v>
      </c>
      <c r="K399" s="3" t="s">
        <v>12</v>
      </c>
      <c r="L399" s="3">
        <v>165</v>
      </c>
    </row>
    <row r="400" spans="1:12" x14ac:dyDescent="0.25">
      <c r="A400" s="44">
        <f t="shared" si="7"/>
        <v>1</v>
      </c>
      <c r="B400" s="50" t="str">
        <f>VLOOKUP(K400,Lookup!$A$1:$D$34,4,FALSE)</f>
        <v>o_tfr.5.2</v>
      </c>
      <c r="C400" s="9">
        <v>43132</v>
      </c>
      <c r="D400" s="3">
        <v>2018</v>
      </c>
      <c r="E400" s="3">
        <v>2</v>
      </c>
      <c r="F400" s="3" t="s">
        <v>39</v>
      </c>
      <c r="G400" s="3">
        <v>5</v>
      </c>
      <c r="H400">
        <v>2</v>
      </c>
      <c r="I400" s="3">
        <v>2</v>
      </c>
      <c r="J400" s="3" t="s">
        <v>8</v>
      </c>
      <c r="K400" s="3" t="s">
        <v>161</v>
      </c>
      <c r="L400" s="3">
        <v>-275</v>
      </c>
    </row>
    <row r="401" spans="1:12" x14ac:dyDescent="0.25">
      <c r="A401" s="44">
        <f t="shared" si="7"/>
        <v>1</v>
      </c>
      <c r="B401" s="50" t="str">
        <f>VLOOKUP(K401,Lookup!$A$1:$D$34,4,FALSE)</f>
        <v>o_tfr.5.2</v>
      </c>
      <c r="C401" s="9">
        <v>43132</v>
      </c>
      <c r="D401" s="3">
        <v>2018</v>
      </c>
      <c r="E401" s="3">
        <v>2</v>
      </c>
      <c r="F401" s="3" t="s">
        <v>39</v>
      </c>
      <c r="G401" s="3">
        <v>5</v>
      </c>
      <c r="H401">
        <v>2</v>
      </c>
      <c r="I401" s="3">
        <v>5</v>
      </c>
      <c r="J401" s="3" t="s">
        <v>8</v>
      </c>
      <c r="K401" s="3" t="s">
        <v>161</v>
      </c>
      <c r="L401" s="3">
        <v>275</v>
      </c>
    </row>
    <row r="402" spans="1:12" x14ac:dyDescent="0.25">
      <c r="A402" s="44">
        <f t="shared" si="7"/>
        <v>1</v>
      </c>
      <c r="B402" s="50" t="str">
        <f>VLOOKUP(K402,Lookup!$A$1:$D$34,4,FALSE)</f>
        <v>a_open</v>
      </c>
      <c r="C402" s="9">
        <v>43132</v>
      </c>
      <c r="D402" s="3">
        <v>2018</v>
      </c>
      <c r="E402" s="3">
        <v>2</v>
      </c>
      <c r="F402" s="3" t="s">
        <v>39</v>
      </c>
      <c r="G402" s="3">
        <v>5</v>
      </c>
      <c r="H402">
        <v>2</v>
      </c>
      <c r="I402" s="3">
        <v>5</v>
      </c>
      <c r="J402" s="3" t="s">
        <v>8</v>
      </c>
      <c r="K402" s="3" t="s">
        <v>14</v>
      </c>
      <c r="L402" s="3">
        <v>-500</v>
      </c>
    </row>
    <row r="403" spans="1:12" x14ac:dyDescent="0.25">
      <c r="A403" s="44">
        <f t="shared" si="7"/>
        <v>1</v>
      </c>
      <c r="B403" s="50" t="str">
        <f>VLOOKUP(K403,Lookup!$A$1:$D$34,4,FALSE)</f>
        <v>zf_close</v>
      </c>
      <c r="C403" s="9">
        <v>43132</v>
      </c>
      <c r="D403" s="3">
        <v>2018</v>
      </c>
      <c r="E403" s="3">
        <v>2</v>
      </c>
      <c r="F403" s="3" t="s">
        <v>39</v>
      </c>
      <c r="G403" s="3">
        <v>5</v>
      </c>
      <c r="H403">
        <v>2</v>
      </c>
      <c r="I403" s="3">
        <v>2</v>
      </c>
      <c r="J403" s="3" t="s">
        <v>15</v>
      </c>
      <c r="K403" s="3" t="s">
        <v>9</v>
      </c>
      <c r="L403" s="3">
        <v>500</v>
      </c>
    </row>
    <row r="404" spans="1:12" x14ac:dyDescent="0.25">
      <c r="A404" s="44">
        <f t="shared" si="7"/>
        <v>1</v>
      </c>
      <c r="B404" s="50" t="str">
        <f>VLOOKUP(K404,Lookup!$A$1:$D$34,4,FALSE)</f>
        <v>zd_other</v>
      </c>
      <c r="C404" s="9">
        <v>43132</v>
      </c>
      <c r="D404" s="3">
        <v>2018</v>
      </c>
      <c r="E404" s="3">
        <v>2</v>
      </c>
      <c r="F404" s="3" t="s">
        <v>39</v>
      </c>
      <c r="G404" s="3">
        <v>5</v>
      </c>
      <c r="H404">
        <v>2</v>
      </c>
      <c r="I404" s="3">
        <v>2</v>
      </c>
      <c r="J404" s="3" t="s">
        <v>15</v>
      </c>
      <c r="K404" s="3" t="s">
        <v>18</v>
      </c>
      <c r="L404" s="3">
        <v>-50</v>
      </c>
    </row>
    <row r="405" spans="1:12" x14ac:dyDescent="0.25">
      <c r="A405" s="44">
        <f t="shared" si="7"/>
        <v>1</v>
      </c>
      <c r="B405" s="50" t="str">
        <f>VLOOKUP(K405,Lookup!$A$1:$D$34,4,FALSE)</f>
        <v>y_repay_term</v>
      </c>
      <c r="C405" s="9">
        <v>43132</v>
      </c>
      <c r="D405" s="3">
        <v>2018</v>
      </c>
      <c r="E405" s="3">
        <v>2</v>
      </c>
      <c r="F405" s="3" t="s">
        <v>39</v>
      </c>
      <c r="G405" s="3">
        <v>5</v>
      </c>
      <c r="H405">
        <v>2</v>
      </c>
      <c r="I405" s="3">
        <v>5</v>
      </c>
      <c r="J405" s="3" t="s">
        <v>15</v>
      </c>
      <c r="K405" s="3" t="s">
        <v>21</v>
      </c>
      <c r="L405" s="3">
        <v>-450</v>
      </c>
    </row>
    <row r="406" spans="1:12" x14ac:dyDescent="0.25">
      <c r="A406" s="44">
        <f t="shared" si="7"/>
        <v>1</v>
      </c>
      <c r="B406" s="50" t="str">
        <f>VLOOKUP(K406,Lookup!$A$1:$D$34,4,FALSE)</f>
        <v>o_tfr.5.2</v>
      </c>
      <c r="C406" s="9">
        <v>43132</v>
      </c>
      <c r="D406" s="3">
        <v>2018</v>
      </c>
      <c r="E406" s="3">
        <v>2</v>
      </c>
      <c r="F406" s="3" t="s">
        <v>39</v>
      </c>
      <c r="G406" s="3">
        <v>5</v>
      </c>
      <c r="H406">
        <v>2</v>
      </c>
      <c r="I406" s="3">
        <v>2</v>
      </c>
      <c r="J406" s="3" t="s">
        <v>15</v>
      </c>
      <c r="K406" s="3" t="s">
        <v>161</v>
      </c>
      <c r="L406" s="3">
        <v>550</v>
      </c>
    </row>
    <row r="407" spans="1:12" x14ac:dyDescent="0.25">
      <c r="A407" s="44">
        <f t="shared" si="7"/>
        <v>1</v>
      </c>
      <c r="B407" s="50" t="str">
        <f>VLOOKUP(K407,Lookup!$A$1:$D$34,4,FALSE)</f>
        <v>o_tfr.5.2</v>
      </c>
      <c r="C407" s="9">
        <v>43132</v>
      </c>
      <c r="D407" s="3">
        <v>2018</v>
      </c>
      <c r="E407" s="3">
        <v>2</v>
      </c>
      <c r="F407" s="3" t="s">
        <v>39</v>
      </c>
      <c r="G407" s="3">
        <v>5</v>
      </c>
      <c r="H407">
        <v>2</v>
      </c>
      <c r="I407" s="3">
        <v>5</v>
      </c>
      <c r="J407" s="3" t="s">
        <v>15</v>
      </c>
      <c r="K407" s="3" t="s">
        <v>161</v>
      </c>
      <c r="L407" s="3">
        <v>-550</v>
      </c>
    </row>
    <row r="408" spans="1:12" x14ac:dyDescent="0.25">
      <c r="A408" s="44">
        <f t="shared" si="7"/>
        <v>1</v>
      </c>
      <c r="B408" s="50" t="str">
        <f>VLOOKUP(K408,Lookup!$A$1:$D$34,4,FALSE)</f>
        <v>a_open</v>
      </c>
      <c r="C408" s="9">
        <v>43132</v>
      </c>
      <c r="D408" s="3">
        <v>2018</v>
      </c>
      <c r="E408" s="3">
        <v>2</v>
      </c>
      <c r="F408" s="3" t="s">
        <v>39</v>
      </c>
      <c r="G408" s="3">
        <v>5</v>
      </c>
      <c r="H408">
        <v>2</v>
      </c>
      <c r="I408" s="3">
        <v>5</v>
      </c>
      <c r="J408" s="3" t="s">
        <v>15</v>
      </c>
      <c r="K408" s="3" t="s">
        <v>14</v>
      </c>
      <c r="L408" s="3">
        <v>1000</v>
      </c>
    </row>
    <row r="409" spans="1:12" x14ac:dyDescent="0.25">
      <c r="A409" s="44">
        <f t="shared" si="7"/>
        <v>1</v>
      </c>
      <c r="B409" s="50" t="str">
        <f>VLOOKUP(K409,Lookup!$A$1:$D$34,4,FALSE)</f>
        <v>z_repay_term_final</v>
      </c>
      <c r="C409" s="9">
        <v>43160</v>
      </c>
      <c r="D409" s="3">
        <v>2018</v>
      </c>
      <c r="E409" s="3">
        <v>3</v>
      </c>
      <c r="F409" s="3" t="s">
        <v>39</v>
      </c>
      <c r="G409" s="3">
        <v>2</v>
      </c>
      <c r="H409">
        <v>2</v>
      </c>
      <c r="I409" s="3">
        <v>2</v>
      </c>
      <c r="J409" s="3" t="s">
        <v>8</v>
      </c>
      <c r="K409" s="3" t="s">
        <v>17</v>
      </c>
      <c r="L409" s="3">
        <v>110</v>
      </c>
    </row>
    <row r="410" spans="1:12" x14ac:dyDescent="0.25">
      <c r="A410" s="44">
        <f t="shared" si="7"/>
        <v>1</v>
      </c>
      <c r="B410" s="50" t="str">
        <f>VLOOKUP(K410,Lookup!$A$1:$D$34,4,FALSE)</f>
        <v>a_open</v>
      </c>
      <c r="C410" s="9">
        <v>43160</v>
      </c>
      <c r="D410" s="3">
        <v>2018</v>
      </c>
      <c r="E410" s="3">
        <v>3</v>
      </c>
      <c r="F410" s="3" t="s">
        <v>39</v>
      </c>
      <c r="G410" s="3">
        <v>2</v>
      </c>
      <c r="H410">
        <v>2</v>
      </c>
      <c r="I410" s="3">
        <v>2</v>
      </c>
      <c r="J410" s="3" t="s">
        <v>8</v>
      </c>
      <c r="K410" s="3" t="s">
        <v>14</v>
      </c>
      <c r="L410" s="3">
        <v>-110</v>
      </c>
    </row>
    <row r="411" spans="1:12" x14ac:dyDescent="0.25">
      <c r="A411" s="44">
        <f t="shared" si="7"/>
        <v>1</v>
      </c>
      <c r="B411" s="50" t="str">
        <f>VLOOKUP(K411,Lookup!$A$1:$D$34,4,FALSE)</f>
        <v>zd_other</v>
      </c>
      <c r="C411" s="9">
        <v>43160</v>
      </c>
      <c r="D411" s="3">
        <v>2018</v>
      </c>
      <c r="E411" s="3">
        <v>3</v>
      </c>
      <c r="F411" s="3" t="s">
        <v>39</v>
      </c>
      <c r="G411" s="3">
        <v>2</v>
      </c>
      <c r="H411">
        <v>2</v>
      </c>
      <c r="I411" s="3">
        <v>2</v>
      </c>
      <c r="J411" s="3" t="s">
        <v>15</v>
      </c>
      <c r="K411" s="3" t="s">
        <v>18</v>
      </c>
      <c r="L411" s="3">
        <v>50</v>
      </c>
    </row>
    <row r="412" spans="1:12" x14ac:dyDescent="0.25">
      <c r="A412" s="44">
        <f t="shared" si="7"/>
        <v>1</v>
      </c>
      <c r="B412" s="50" t="str">
        <f>VLOOKUP(K412,Lookup!$A$1:$D$34,4,FALSE)</f>
        <v>z_repay_term_final</v>
      </c>
      <c r="C412" s="9">
        <v>43160</v>
      </c>
      <c r="D412" s="3">
        <v>2018</v>
      </c>
      <c r="E412" s="3">
        <v>3</v>
      </c>
      <c r="F412" s="3" t="s">
        <v>39</v>
      </c>
      <c r="G412" s="3">
        <v>2</v>
      </c>
      <c r="H412">
        <v>2</v>
      </c>
      <c r="I412" s="3">
        <v>2</v>
      </c>
      <c r="J412" s="3" t="s">
        <v>15</v>
      </c>
      <c r="K412" s="3" t="s">
        <v>17</v>
      </c>
      <c r="L412" s="3">
        <v>-550</v>
      </c>
    </row>
    <row r="413" spans="1:12" x14ac:dyDescent="0.25">
      <c r="A413" s="44">
        <f t="shared" si="7"/>
        <v>1</v>
      </c>
      <c r="B413" s="50" t="str">
        <f>VLOOKUP(K413,Lookup!$A$1:$D$34,4,FALSE)</f>
        <v>a_open</v>
      </c>
      <c r="C413" s="9">
        <v>43160</v>
      </c>
      <c r="D413" s="3">
        <v>2018</v>
      </c>
      <c r="E413" s="3">
        <v>3</v>
      </c>
      <c r="F413" s="3" t="s">
        <v>39</v>
      </c>
      <c r="G413" s="3">
        <v>2</v>
      </c>
      <c r="H413">
        <v>2</v>
      </c>
      <c r="I413" s="3">
        <v>2</v>
      </c>
      <c r="J413" s="3" t="s">
        <v>15</v>
      </c>
      <c r="K413" s="3" t="s">
        <v>14</v>
      </c>
      <c r="L413" s="3">
        <v>500</v>
      </c>
    </row>
    <row r="414" spans="1:12" x14ac:dyDescent="0.25">
      <c r="A414" s="44">
        <f t="shared" si="7"/>
        <v>1</v>
      </c>
      <c r="B414" s="50" t="str">
        <f>VLOOKUP(K414,Lookup!$A$1:$D$34,4,FALSE)</f>
        <v>zf_close</v>
      </c>
      <c r="C414" s="9">
        <v>43101</v>
      </c>
      <c r="D414" s="3">
        <v>2018</v>
      </c>
      <c r="E414" s="3">
        <v>1</v>
      </c>
      <c r="F414" s="3" t="s">
        <v>40</v>
      </c>
      <c r="G414" s="3">
        <v>1</v>
      </c>
      <c r="H414">
        <v>3</v>
      </c>
      <c r="I414" s="3">
        <v>3</v>
      </c>
      <c r="J414" s="3" t="s">
        <v>8</v>
      </c>
      <c r="K414" s="3" t="s">
        <v>9</v>
      </c>
      <c r="L414" s="3">
        <v>0.02</v>
      </c>
    </row>
    <row r="415" spans="1:12" x14ac:dyDescent="0.25">
      <c r="A415" s="44">
        <f t="shared" si="7"/>
        <v>1</v>
      </c>
      <c r="B415" s="50" t="str">
        <f>VLOOKUP(K415,Lookup!$A$1:$D$34,4,FALSE)</f>
        <v>zb_re-measure_migr</v>
      </c>
      <c r="C415" s="9">
        <v>43101</v>
      </c>
      <c r="D415" s="3">
        <v>2018</v>
      </c>
      <c r="E415" s="3">
        <v>1</v>
      </c>
      <c r="F415" s="3" t="s">
        <v>40</v>
      </c>
      <c r="G415" s="3">
        <v>1</v>
      </c>
      <c r="H415">
        <v>3</v>
      </c>
      <c r="I415" s="3">
        <v>3</v>
      </c>
      <c r="J415" s="3" t="s">
        <v>8</v>
      </c>
      <c r="K415" s="3" t="s">
        <v>12</v>
      </c>
      <c r="L415" s="3">
        <v>0.02</v>
      </c>
    </row>
    <row r="416" spans="1:12" x14ac:dyDescent="0.25">
      <c r="A416" s="44">
        <f t="shared" si="7"/>
        <v>1</v>
      </c>
      <c r="B416" s="50" t="str">
        <f>VLOOKUP(K416,Lookup!$A$1:$D$34,4,FALSE)</f>
        <v>zf_close</v>
      </c>
      <c r="C416" s="9">
        <v>43101</v>
      </c>
      <c r="D416" s="3">
        <v>2018</v>
      </c>
      <c r="E416" s="3">
        <v>1</v>
      </c>
      <c r="F416" s="3" t="s">
        <v>40</v>
      </c>
      <c r="G416" s="3">
        <v>1</v>
      </c>
      <c r="H416">
        <v>3</v>
      </c>
      <c r="I416" s="3">
        <v>3</v>
      </c>
      <c r="J416" s="3" t="s">
        <v>15</v>
      </c>
      <c r="K416" s="3" t="s">
        <v>9</v>
      </c>
      <c r="L416" s="3">
        <v>1250</v>
      </c>
    </row>
    <row r="417" spans="1:12" x14ac:dyDescent="0.25">
      <c r="A417" s="44">
        <f t="shared" si="7"/>
        <v>1</v>
      </c>
      <c r="B417" s="50" t="str">
        <f>VLOOKUP(K417,Lookup!$A$1:$D$34,4,FALSE)</f>
        <v>v_drawdown_rvlv</v>
      </c>
      <c r="C417" s="9">
        <v>43101</v>
      </c>
      <c r="D417" s="3">
        <v>2018</v>
      </c>
      <c r="E417" s="3">
        <v>1</v>
      </c>
      <c r="F417" s="3" t="s">
        <v>40</v>
      </c>
      <c r="G417" s="3">
        <v>1</v>
      </c>
      <c r="H417">
        <v>3</v>
      </c>
      <c r="I417" s="3">
        <v>1</v>
      </c>
      <c r="J417" s="3" t="s">
        <v>15</v>
      </c>
      <c r="K417" s="3" t="s">
        <v>24</v>
      </c>
      <c r="L417" s="3">
        <v>1250</v>
      </c>
    </row>
    <row r="418" spans="1:12" x14ac:dyDescent="0.25">
      <c r="A418" s="44">
        <f t="shared" si="7"/>
        <v>1</v>
      </c>
      <c r="B418" s="50" t="str">
        <f>VLOOKUP(K418,Lookup!$A$1:$D$34,4,FALSE)</f>
        <v>c_tfr.1.3</v>
      </c>
      <c r="C418" s="9">
        <v>43101</v>
      </c>
      <c r="D418" s="3">
        <v>2018</v>
      </c>
      <c r="E418" s="3">
        <v>1</v>
      </c>
      <c r="F418" s="3" t="s">
        <v>40</v>
      </c>
      <c r="G418" s="3">
        <v>1</v>
      </c>
      <c r="H418">
        <v>3</v>
      </c>
      <c r="I418" s="3">
        <v>3</v>
      </c>
      <c r="J418" s="3" t="s">
        <v>15</v>
      </c>
      <c r="K418" s="3" t="s">
        <v>162</v>
      </c>
      <c r="L418" s="3">
        <v>1250</v>
      </c>
    </row>
    <row r="419" spans="1:12" x14ac:dyDescent="0.25">
      <c r="A419" s="44">
        <f t="shared" si="7"/>
        <v>1</v>
      </c>
      <c r="B419" s="50" t="str">
        <f>VLOOKUP(K419,Lookup!$A$1:$D$34,4,FALSE)</f>
        <v>c_tfr.1.3</v>
      </c>
      <c r="C419" s="9">
        <v>43101</v>
      </c>
      <c r="D419" s="3">
        <v>2018</v>
      </c>
      <c r="E419" s="3">
        <v>1</v>
      </c>
      <c r="F419" s="3" t="s">
        <v>40</v>
      </c>
      <c r="G419" s="3">
        <v>1</v>
      </c>
      <c r="H419">
        <v>3</v>
      </c>
      <c r="I419" s="3">
        <v>1</v>
      </c>
      <c r="J419" s="3" t="s">
        <v>15</v>
      </c>
      <c r="K419" s="3" t="s">
        <v>162</v>
      </c>
      <c r="L419" s="3">
        <v>-1250</v>
      </c>
    </row>
    <row r="420" spans="1:12" x14ac:dyDescent="0.25">
      <c r="A420" s="44">
        <f t="shared" si="7"/>
        <v>1</v>
      </c>
      <c r="B420" s="50" t="str">
        <f>VLOOKUP(K420,Lookup!$A$1:$D$34,4,FALSE)</f>
        <v>zf_close</v>
      </c>
      <c r="C420" s="9">
        <v>43132</v>
      </c>
      <c r="D420" s="3">
        <v>2018</v>
      </c>
      <c r="E420" s="3">
        <v>2</v>
      </c>
      <c r="F420" s="3" t="s">
        <v>40</v>
      </c>
      <c r="G420" s="3">
        <v>3</v>
      </c>
      <c r="H420">
        <v>3</v>
      </c>
      <c r="I420" s="3">
        <v>3</v>
      </c>
      <c r="J420" s="3" t="s">
        <v>8</v>
      </c>
      <c r="K420" s="3" t="s">
        <v>9</v>
      </c>
      <c r="L420" s="3">
        <v>0.02</v>
      </c>
    </row>
    <row r="421" spans="1:12" x14ac:dyDescent="0.25">
      <c r="A421" s="44">
        <f t="shared" si="7"/>
        <v>1</v>
      </c>
      <c r="B421" s="50" t="str">
        <f>VLOOKUP(K421,Lookup!$A$1:$D$34,4,FALSE)</f>
        <v>a_open</v>
      </c>
      <c r="C421" s="9">
        <v>43132</v>
      </c>
      <c r="D421" s="3">
        <v>2018</v>
      </c>
      <c r="E421" s="3">
        <v>2</v>
      </c>
      <c r="F421" s="3" t="s">
        <v>40</v>
      </c>
      <c r="G421" s="3">
        <v>3</v>
      </c>
      <c r="H421">
        <v>3</v>
      </c>
      <c r="I421" s="3">
        <v>3</v>
      </c>
      <c r="J421" s="3" t="s">
        <v>8</v>
      </c>
      <c r="K421" s="3" t="s">
        <v>14</v>
      </c>
      <c r="L421" s="3">
        <v>0.02</v>
      </c>
    </row>
    <row r="422" spans="1:12" x14ac:dyDescent="0.25">
      <c r="A422" s="44">
        <f t="shared" si="7"/>
        <v>1</v>
      </c>
      <c r="B422" s="50" t="str">
        <f>VLOOKUP(K422,Lookup!$A$1:$D$34,4,FALSE)</f>
        <v>zf_close</v>
      </c>
      <c r="C422" s="9">
        <v>43132</v>
      </c>
      <c r="D422" s="3">
        <v>2018</v>
      </c>
      <c r="E422" s="3">
        <v>2</v>
      </c>
      <c r="F422" s="3" t="s">
        <v>40</v>
      </c>
      <c r="G422" s="3">
        <v>3</v>
      </c>
      <c r="H422">
        <v>3</v>
      </c>
      <c r="I422" s="3">
        <v>3</v>
      </c>
      <c r="J422" s="3" t="s">
        <v>15</v>
      </c>
      <c r="K422" s="3" t="s">
        <v>9</v>
      </c>
      <c r="L422" s="3">
        <v>1000</v>
      </c>
    </row>
    <row r="423" spans="1:12" x14ac:dyDescent="0.25">
      <c r="A423" s="44">
        <f t="shared" si="7"/>
        <v>1</v>
      </c>
      <c r="B423" s="50" t="str">
        <f>VLOOKUP(K423,Lookup!$A$1:$D$34,4,FALSE)</f>
        <v>v_drawdown_rvlv</v>
      </c>
      <c r="C423" s="9">
        <v>43132</v>
      </c>
      <c r="D423" s="3">
        <v>2018</v>
      </c>
      <c r="E423" s="3">
        <v>2</v>
      </c>
      <c r="F423" s="3" t="s">
        <v>40</v>
      </c>
      <c r="G423" s="3">
        <v>3</v>
      </c>
      <c r="H423">
        <v>3</v>
      </c>
      <c r="I423" s="3">
        <v>3</v>
      </c>
      <c r="J423" s="3" t="s">
        <v>15</v>
      </c>
      <c r="K423" s="3" t="s">
        <v>24</v>
      </c>
      <c r="L423" s="3">
        <v>-250</v>
      </c>
    </row>
    <row r="424" spans="1:12" x14ac:dyDescent="0.25">
      <c r="A424" s="44">
        <f t="shared" si="7"/>
        <v>1</v>
      </c>
      <c r="B424" s="50" t="str">
        <f>VLOOKUP(K424,Lookup!$A$1:$D$34,4,FALSE)</f>
        <v>a_open</v>
      </c>
      <c r="C424" s="9">
        <v>43132</v>
      </c>
      <c r="D424" s="3">
        <v>2018</v>
      </c>
      <c r="E424" s="3">
        <v>2</v>
      </c>
      <c r="F424" s="3" t="s">
        <v>40</v>
      </c>
      <c r="G424" s="3">
        <v>3</v>
      </c>
      <c r="H424">
        <v>3</v>
      </c>
      <c r="I424" s="3">
        <v>3</v>
      </c>
      <c r="J424" s="3" t="s">
        <v>15</v>
      </c>
      <c r="K424" s="3" t="s">
        <v>14</v>
      </c>
      <c r="L424" s="3">
        <v>1250</v>
      </c>
    </row>
    <row r="425" spans="1:12" x14ac:dyDescent="0.25">
      <c r="A425" s="44">
        <f t="shared" si="7"/>
        <v>1</v>
      </c>
      <c r="B425" s="50" t="str">
        <f>VLOOKUP(K425,Lookup!$A$1:$D$34,4,FALSE)</f>
        <v>za_re-measure_no_migr</v>
      </c>
      <c r="C425" s="9">
        <v>43160</v>
      </c>
      <c r="D425" s="3">
        <v>2018</v>
      </c>
      <c r="E425" s="3">
        <v>3</v>
      </c>
      <c r="F425" s="3" t="s">
        <v>40</v>
      </c>
      <c r="G425" s="3">
        <v>3</v>
      </c>
      <c r="H425">
        <v>3</v>
      </c>
      <c r="I425" s="3">
        <v>3</v>
      </c>
      <c r="J425" s="3" t="s">
        <v>8</v>
      </c>
      <c r="K425" s="3" t="s">
        <v>11</v>
      </c>
      <c r="L425" s="3">
        <v>-0.02</v>
      </c>
    </row>
    <row r="426" spans="1:12" x14ac:dyDescent="0.25">
      <c r="A426" s="44">
        <f t="shared" si="7"/>
        <v>1</v>
      </c>
      <c r="B426" s="50" t="str">
        <f>VLOOKUP(K426,Lookup!$A$1:$D$34,4,FALSE)</f>
        <v>a_open</v>
      </c>
      <c r="C426" s="9">
        <v>43160</v>
      </c>
      <c r="D426" s="3">
        <v>2018</v>
      </c>
      <c r="E426" s="3">
        <v>3</v>
      </c>
      <c r="F426" s="3" t="s">
        <v>40</v>
      </c>
      <c r="G426" s="3">
        <v>3</v>
      </c>
      <c r="H426">
        <v>3</v>
      </c>
      <c r="I426" s="3">
        <v>3</v>
      </c>
      <c r="J426" s="3" t="s">
        <v>8</v>
      </c>
      <c r="K426" s="3" t="s">
        <v>14</v>
      </c>
      <c r="L426" s="3">
        <v>0.02</v>
      </c>
    </row>
    <row r="427" spans="1:12" x14ac:dyDescent="0.25">
      <c r="A427" s="44">
        <f t="shared" si="7"/>
        <v>1</v>
      </c>
      <c r="B427" s="50" t="str">
        <f>VLOOKUP(K427,Lookup!$A$1:$D$34,4,FALSE)</f>
        <v>v_drawdown_rvlv</v>
      </c>
      <c r="C427" s="9">
        <v>43160</v>
      </c>
      <c r="D427" s="3">
        <v>2018</v>
      </c>
      <c r="E427" s="3">
        <v>3</v>
      </c>
      <c r="F427" s="3" t="s">
        <v>40</v>
      </c>
      <c r="G427" s="3">
        <v>3</v>
      </c>
      <c r="H427">
        <v>3</v>
      </c>
      <c r="I427" s="3">
        <v>3</v>
      </c>
      <c r="J427" s="3" t="s">
        <v>15</v>
      </c>
      <c r="K427" s="3" t="s">
        <v>24</v>
      </c>
      <c r="L427" s="3">
        <v>-1000</v>
      </c>
    </row>
    <row r="428" spans="1:12" x14ac:dyDescent="0.25">
      <c r="A428" s="44">
        <f t="shared" si="7"/>
        <v>1</v>
      </c>
      <c r="B428" s="50" t="str">
        <f>VLOOKUP(K428,Lookup!$A$1:$D$34,4,FALSE)</f>
        <v>a_open</v>
      </c>
      <c r="C428" s="9">
        <v>43160</v>
      </c>
      <c r="D428" s="3">
        <v>2018</v>
      </c>
      <c r="E428" s="3">
        <v>3</v>
      </c>
      <c r="F428" s="3" t="s">
        <v>40</v>
      </c>
      <c r="G428" s="3">
        <v>3</v>
      </c>
      <c r="H428">
        <v>3</v>
      </c>
      <c r="I428" s="3">
        <v>3</v>
      </c>
      <c r="J428" s="3" t="s">
        <v>15</v>
      </c>
      <c r="K428" s="3" t="s">
        <v>14</v>
      </c>
      <c r="L428" s="3">
        <v>1000</v>
      </c>
    </row>
    <row r="429" spans="1:12" x14ac:dyDescent="0.25">
      <c r="A429" s="44">
        <f t="shared" si="7"/>
        <v>1</v>
      </c>
      <c r="B429" s="50" t="str">
        <f>VLOOKUP(K429,Lookup!$A$1:$D$34,4,FALSE)</f>
        <v>zf_close</v>
      </c>
      <c r="C429" s="9">
        <v>43101</v>
      </c>
      <c r="D429" s="3">
        <v>2018</v>
      </c>
      <c r="E429" s="3">
        <v>1</v>
      </c>
      <c r="F429" s="3" t="s">
        <v>41</v>
      </c>
      <c r="G429" s="3">
        <v>1</v>
      </c>
      <c r="H429">
        <v>1</v>
      </c>
      <c r="I429" s="3">
        <v>1</v>
      </c>
      <c r="J429" s="3" t="s">
        <v>8</v>
      </c>
      <c r="K429" s="3" t="s">
        <v>9</v>
      </c>
      <c r="L429" s="3">
        <v>2</v>
      </c>
    </row>
    <row r="430" spans="1:12" x14ac:dyDescent="0.25">
      <c r="A430" s="44">
        <f t="shared" si="7"/>
        <v>1</v>
      </c>
      <c r="B430" s="50" t="str">
        <f>VLOOKUP(K430,Lookup!$A$1:$D$34,4,FALSE)</f>
        <v>za_re-measure_no_migr</v>
      </c>
      <c r="C430" s="9">
        <v>43101</v>
      </c>
      <c r="D430" s="3">
        <v>2018</v>
      </c>
      <c r="E430" s="3">
        <v>1</v>
      </c>
      <c r="F430" s="3" t="s">
        <v>41</v>
      </c>
      <c r="G430" s="3">
        <v>1</v>
      </c>
      <c r="H430">
        <v>1</v>
      </c>
      <c r="I430" s="3">
        <v>1</v>
      </c>
      <c r="J430" s="3" t="s">
        <v>8</v>
      </c>
      <c r="K430" s="3" t="s">
        <v>11</v>
      </c>
      <c r="L430" s="3">
        <v>2</v>
      </c>
    </row>
    <row r="431" spans="1:12" x14ac:dyDescent="0.25">
      <c r="A431" s="44">
        <f t="shared" si="7"/>
        <v>1</v>
      </c>
      <c r="B431" s="50" t="str">
        <f>VLOOKUP(K431,Lookup!$A$1:$D$34,4,FALSE)</f>
        <v>zf_close</v>
      </c>
      <c r="C431" s="9">
        <v>43101</v>
      </c>
      <c r="D431" s="3">
        <v>2018</v>
      </c>
      <c r="E431" s="3">
        <v>1</v>
      </c>
      <c r="F431" s="3" t="s">
        <v>41</v>
      </c>
      <c r="G431" s="3">
        <v>1</v>
      </c>
      <c r="H431">
        <v>1</v>
      </c>
      <c r="I431" s="3">
        <v>1</v>
      </c>
      <c r="J431" s="3" t="s">
        <v>15</v>
      </c>
      <c r="K431" s="3" t="s">
        <v>9</v>
      </c>
      <c r="L431" s="3">
        <v>0.01</v>
      </c>
    </row>
    <row r="432" spans="1:12" x14ac:dyDescent="0.25">
      <c r="A432" s="44">
        <f t="shared" si="7"/>
        <v>1</v>
      </c>
      <c r="B432" s="50" t="str">
        <f>VLOOKUP(K432,Lookup!$A$1:$D$34,4,FALSE)</f>
        <v>w_drawdown_term</v>
      </c>
      <c r="C432" s="9">
        <v>43101</v>
      </c>
      <c r="D432" s="3">
        <v>2018</v>
      </c>
      <c r="E432" s="3">
        <v>1</v>
      </c>
      <c r="F432" s="3" t="s">
        <v>41</v>
      </c>
      <c r="G432" s="3">
        <v>1</v>
      </c>
      <c r="H432">
        <v>1</v>
      </c>
      <c r="I432" s="3">
        <v>1</v>
      </c>
      <c r="J432" s="3" t="s">
        <v>15</v>
      </c>
      <c r="K432" s="3" t="s">
        <v>32</v>
      </c>
      <c r="L432" s="3">
        <v>0.01</v>
      </c>
    </row>
    <row r="433" spans="1:12" x14ac:dyDescent="0.25">
      <c r="A433" s="44">
        <f t="shared" si="7"/>
        <v>1</v>
      </c>
      <c r="B433" s="50" t="str">
        <f>VLOOKUP(K433,Lookup!$A$1:$D$34,4,FALSE)</f>
        <v>zf_close</v>
      </c>
      <c r="C433" s="9">
        <v>43132</v>
      </c>
      <c r="D433" s="3">
        <v>2018</v>
      </c>
      <c r="E433" s="3">
        <v>2</v>
      </c>
      <c r="F433" s="3" t="s">
        <v>41</v>
      </c>
      <c r="G433" s="3">
        <v>1</v>
      </c>
      <c r="H433">
        <v>1</v>
      </c>
      <c r="I433" s="3">
        <v>1</v>
      </c>
      <c r="J433" s="3" t="s">
        <v>8</v>
      </c>
      <c r="K433" s="3" t="s">
        <v>9</v>
      </c>
      <c r="L433" s="3">
        <v>1</v>
      </c>
    </row>
    <row r="434" spans="1:12" x14ac:dyDescent="0.25">
      <c r="A434" s="44">
        <f t="shared" si="7"/>
        <v>1</v>
      </c>
      <c r="B434" s="50" t="str">
        <f>VLOOKUP(K434,Lookup!$A$1:$D$34,4,FALSE)</f>
        <v>za_re-measure_no_migr</v>
      </c>
      <c r="C434" s="9">
        <v>43132</v>
      </c>
      <c r="D434" s="3">
        <v>2018</v>
      </c>
      <c r="E434" s="3">
        <v>2</v>
      </c>
      <c r="F434" s="3" t="s">
        <v>41</v>
      </c>
      <c r="G434" s="3">
        <v>1</v>
      </c>
      <c r="H434">
        <v>1</v>
      </c>
      <c r="I434" s="3">
        <v>1</v>
      </c>
      <c r="J434" s="3" t="s">
        <v>8</v>
      </c>
      <c r="K434" s="3" t="s">
        <v>11</v>
      </c>
      <c r="L434" s="3">
        <v>-1</v>
      </c>
    </row>
    <row r="435" spans="1:12" x14ac:dyDescent="0.25">
      <c r="A435" s="44">
        <f t="shared" si="7"/>
        <v>1</v>
      </c>
      <c r="B435" s="50" t="str">
        <f>VLOOKUP(K435,Lookup!$A$1:$D$34,4,FALSE)</f>
        <v>a_open</v>
      </c>
      <c r="C435" s="9">
        <v>43132</v>
      </c>
      <c r="D435" s="3">
        <v>2018</v>
      </c>
      <c r="E435" s="3">
        <v>2</v>
      </c>
      <c r="F435" s="3" t="s">
        <v>41</v>
      </c>
      <c r="G435" s="3">
        <v>1</v>
      </c>
      <c r="H435">
        <v>1</v>
      </c>
      <c r="I435" s="3">
        <v>1</v>
      </c>
      <c r="J435" s="3" t="s">
        <v>8</v>
      </c>
      <c r="K435" s="3" t="s">
        <v>14</v>
      </c>
      <c r="L435" s="3">
        <v>2</v>
      </c>
    </row>
    <row r="436" spans="1:12" x14ac:dyDescent="0.25">
      <c r="A436" s="44">
        <f t="shared" si="7"/>
        <v>1</v>
      </c>
      <c r="B436" s="50" t="str">
        <f>VLOOKUP(K436,Lookup!$A$1:$D$34,4,FALSE)</f>
        <v>zf_close</v>
      </c>
      <c r="C436" s="9">
        <v>43132</v>
      </c>
      <c r="D436" s="3">
        <v>2018</v>
      </c>
      <c r="E436" s="3">
        <v>2</v>
      </c>
      <c r="F436" s="3" t="s">
        <v>41</v>
      </c>
      <c r="G436" s="3">
        <v>1</v>
      </c>
      <c r="H436">
        <v>1</v>
      </c>
      <c r="I436" s="3">
        <v>1</v>
      </c>
      <c r="J436" s="3" t="s">
        <v>15</v>
      </c>
      <c r="K436" s="3" t="s">
        <v>9</v>
      </c>
      <c r="L436" s="3">
        <v>5</v>
      </c>
    </row>
    <row r="437" spans="1:12" x14ac:dyDescent="0.25">
      <c r="A437" s="44">
        <f t="shared" si="7"/>
        <v>1</v>
      </c>
      <c r="B437" s="50" t="str">
        <f>VLOOKUP(K437,Lookup!$A$1:$D$34,4,FALSE)</f>
        <v>w_drawdown_term</v>
      </c>
      <c r="C437" s="9">
        <v>43132</v>
      </c>
      <c r="D437" s="3">
        <v>2018</v>
      </c>
      <c r="E437" s="3">
        <v>2</v>
      </c>
      <c r="F437" s="3" t="s">
        <v>41</v>
      </c>
      <c r="G437" s="3">
        <v>1</v>
      </c>
      <c r="H437">
        <v>1</v>
      </c>
      <c r="I437" s="3">
        <v>1</v>
      </c>
      <c r="J437" s="3" t="s">
        <v>15</v>
      </c>
      <c r="K437" s="3" t="s">
        <v>32</v>
      </c>
      <c r="L437" s="3">
        <v>4.99</v>
      </c>
    </row>
    <row r="438" spans="1:12" x14ac:dyDescent="0.25">
      <c r="A438" s="44">
        <f t="shared" si="7"/>
        <v>1</v>
      </c>
      <c r="B438" s="50" t="str">
        <f>VLOOKUP(K438,Lookup!$A$1:$D$34,4,FALSE)</f>
        <v>a_open</v>
      </c>
      <c r="C438" s="9">
        <v>43132</v>
      </c>
      <c r="D438" s="3">
        <v>2018</v>
      </c>
      <c r="E438" s="3">
        <v>2</v>
      </c>
      <c r="F438" s="3" t="s">
        <v>41</v>
      </c>
      <c r="G438" s="3">
        <v>1</v>
      </c>
      <c r="H438">
        <v>1</v>
      </c>
      <c r="I438" s="3">
        <v>1</v>
      </c>
      <c r="J438" s="3" t="s">
        <v>15</v>
      </c>
      <c r="K438" s="3" t="s">
        <v>14</v>
      </c>
      <c r="L438" s="3">
        <v>0.01</v>
      </c>
    </row>
    <row r="439" spans="1:12" x14ac:dyDescent="0.25">
      <c r="A439" s="44">
        <f t="shared" si="7"/>
        <v>1</v>
      </c>
      <c r="B439" s="50" t="str">
        <f>VLOOKUP(K439,Lookup!$A$1:$D$34,4,FALSE)</f>
        <v>za_re-measure_no_migr</v>
      </c>
      <c r="C439" s="9">
        <v>43160</v>
      </c>
      <c r="D439" s="3">
        <v>2018</v>
      </c>
      <c r="E439" s="3">
        <v>3</v>
      </c>
      <c r="F439" s="3" t="s">
        <v>41</v>
      </c>
      <c r="G439" s="3">
        <v>1</v>
      </c>
      <c r="H439">
        <v>1</v>
      </c>
      <c r="I439" s="3">
        <v>1</v>
      </c>
      <c r="J439" s="3" t="s">
        <v>8</v>
      </c>
      <c r="K439" s="3" t="s">
        <v>11</v>
      </c>
      <c r="L439" s="3">
        <v>-1</v>
      </c>
    </row>
    <row r="440" spans="1:12" x14ac:dyDescent="0.25">
      <c r="A440" s="44">
        <f t="shared" si="7"/>
        <v>1</v>
      </c>
      <c r="B440" s="50" t="str">
        <f>VLOOKUP(K440,Lookup!$A$1:$D$34,4,FALSE)</f>
        <v>a_open</v>
      </c>
      <c r="C440" s="9">
        <v>43160</v>
      </c>
      <c r="D440" s="3">
        <v>2018</v>
      </c>
      <c r="E440" s="3">
        <v>3</v>
      </c>
      <c r="F440" s="3" t="s">
        <v>41</v>
      </c>
      <c r="G440" s="3">
        <v>1</v>
      </c>
      <c r="H440">
        <v>1</v>
      </c>
      <c r="I440" s="3">
        <v>1</v>
      </c>
      <c r="J440" s="3" t="s">
        <v>8</v>
      </c>
      <c r="K440" s="3" t="s">
        <v>14</v>
      </c>
      <c r="L440" s="3">
        <v>1</v>
      </c>
    </row>
    <row r="441" spans="1:12" x14ac:dyDescent="0.25">
      <c r="A441" s="44">
        <f t="shared" si="7"/>
        <v>1</v>
      </c>
      <c r="B441" s="50" t="str">
        <f>VLOOKUP(K441,Lookup!$A$1:$D$34,4,FALSE)</f>
        <v>z_repay_term_final</v>
      </c>
      <c r="C441" s="9">
        <v>43160</v>
      </c>
      <c r="D441" s="3">
        <v>2018</v>
      </c>
      <c r="E441" s="3">
        <v>3</v>
      </c>
      <c r="F441" s="3" t="s">
        <v>41</v>
      </c>
      <c r="G441" s="3">
        <v>1</v>
      </c>
      <c r="H441">
        <v>1</v>
      </c>
      <c r="I441" s="3">
        <v>1</v>
      </c>
      <c r="J441" s="3" t="s">
        <v>15</v>
      </c>
      <c r="K441" s="3" t="s">
        <v>17</v>
      </c>
      <c r="L441" s="3">
        <v>-5</v>
      </c>
    </row>
    <row r="442" spans="1:12" x14ac:dyDescent="0.25">
      <c r="A442" s="44">
        <f t="shared" si="7"/>
        <v>1</v>
      </c>
      <c r="B442" s="50" t="str">
        <f>VLOOKUP(K442,Lookup!$A$1:$D$34,4,FALSE)</f>
        <v>a_open</v>
      </c>
      <c r="C442" s="9">
        <v>43160</v>
      </c>
      <c r="D442" s="3">
        <v>2018</v>
      </c>
      <c r="E442" s="3">
        <v>3</v>
      </c>
      <c r="F442" s="3" t="s">
        <v>41</v>
      </c>
      <c r="G442" s="3">
        <v>1</v>
      </c>
      <c r="H442">
        <v>1</v>
      </c>
      <c r="I442" s="3">
        <v>1</v>
      </c>
      <c r="J442" s="3" t="s">
        <v>15</v>
      </c>
      <c r="K442" s="3" t="s">
        <v>14</v>
      </c>
      <c r="L442" s="3">
        <v>5</v>
      </c>
    </row>
    <row r="443" spans="1:12" x14ac:dyDescent="0.25">
      <c r="A443" s="44">
        <f t="shared" si="7"/>
        <v>0</v>
      </c>
      <c r="B443" s="50" t="str">
        <f>VLOOKUP(K443,Lookup!$A$1:$D$34,4,FALSE)</f>
        <v>zf_close</v>
      </c>
      <c r="C443" s="9">
        <v>43070</v>
      </c>
      <c r="D443" s="3">
        <v>2017</v>
      </c>
      <c r="E443" s="3">
        <v>12</v>
      </c>
      <c r="F443" s="3" t="s">
        <v>157</v>
      </c>
      <c r="G443" s="3" t="s">
        <v>58</v>
      </c>
      <c r="H443">
        <v>1</v>
      </c>
      <c r="I443" s="3">
        <v>1</v>
      </c>
      <c r="J443" s="3" t="s">
        <v>8</v>
      </c>
      <c r="K443" s="3" t="s">
        <v>9</v>
      </c>
      <c r="L443" s="3">
        <v>100</v>
      </c>
    </row>
    <row r="444" spans="1:12" x14ac:dyDescent="0.25">
      <c r="A444" s="44">
        <f t="shared" si="7"/>
        <v>0</v>
      </c>
      <c r="B444" s="50" t="str">
        <f>VLOOKUP(K444,Lookup!$A$1:$D$34,4,FALSE)</f>
        <v>zf_close</v>
      </c>
      <c r="C444" s="9">
        <v>43070</v>
      </c>
      <c r="D444" s="3">
        <v>2017</v>
      </c>
      <c r="E444" s="3">
        <v>12</v>
      </c>
      <c r="F444" s="3" t="s">
        <v>157</v>
      </c>
      <c r="G444" s="3" t="s">
        <v>58</v>
      </c>
      <c r="H444">
        <v>1</v>
      </c>
      <c r="I444" s="3">
        <v>1</v>
      </c>
      <c r="J444" s="3" t="s">
        <v>15</v>
      </c>
      <c r="K444" s="3" t="s">
        <v>9</v>
      </c>
      <c r="L444" s="3">
        <v>1000</v>
      </c>
    </row>
    <row r="445" spans="1:12" x14ac:dyDescent="0.25">
      <c r="A445" s="44">
        <f t="shared" si="7"/>
        <v>1</v>
      </c>
      <c r="B445" s="50" t="str">
        <f>VLOOKUP(K445,Lookup!$A$1:$D$34,4,FALSE)</f>
        <v>zf_close</v>
      </c>
      <c r="C445" s="9">
        <v>43101</v>
      </c>
      <c r="D445" s="3">
        <v>2018</v>
      </c>
      <c r="E445" s="3">
        <v>1</v>
      </c>
      <c r="F445" s="3" t="s">
        <v>157</v>
      </c>
      <c r="G445" s="3">
        <v>1</v>
      </c>
      <c r="H445">
        <v>1</v>
      </c>
      <c r="I445" s="3">
        <v>1</v>
      </c>
      <c r="J445" s="3" t="s">
        <v>8</v>
      </c>
      <c r="K445" s="3" t="s">
        <v>9</v>
      </c>
      <c r="L445" s="3">
        <v>120</v>
      </c>
    </row>
    <row r="446" spans="1:12" x14ac:dyDescent="0.25">
      <c r="A446" s="44">
        <f t="shared" si="7"/>
        <v>1</v>
      </c>
      <c r="B446" s="50" t="str">
        <f>VLOOKUP(K446,Lookup!$A$1:$D$34,4,FALSE)</f>
        <v>za_re-measure_no_migr</v>
      </c>
      <c r="C446" s="9">
        <v>43101</v>
      </c>
      <c r="D446" s="3">
        <v>2018</v>
      </c>
      <c r="E446" s="3">
        <v>1</v>
      </c>
      <c r="F446" s="3" t="s">
        <v>157</v>
      </c>
      <c r="G446" s="3">
        <v>1</v>
      </c>
      <c r="H446">
        <v>1</v>
      </c>
      <c r="I446" s="3">
        <v>1</v>
      </c>
      <c r="J446" s="3" t="s">
        <v>8</v>
      </c>
      <c r="K446" s="3" t="s">
        <v>11</v>
      </c>
      <c r="L446" s="3">
        <v>20</v>
      </c>
    </row>
    <row r="447" spans="1:12" x14ac:dyDescent="0.25">
      <c r="A447" s="44">
        <f t="shared" si="7"/>
        <v>1</v>
      </c>
      <c r="B447" s="50" t="str">
        <f>VLOOKUP(K447,Lookup!$A$1:$D$34,4,FALSE)</f>
        <v>a_open</v>
      </c>
      <c r="C447" s="9">
        <v>43101</v>
      </c>
      <c r="D447" s="3">
        <v>2018</v>
      </c>
      <c r="E447" s="3">
        <v>1</v>
      </c>
      <c r="F447" s="3" t="s">
        <v>157</v>
      </c>
      <c r="G447" s="3">
        <v>1</v>
      </c>
      <c r="H447">
        <v>1</v>
      </c>
      <c r="I447" s="3">
        <v>1</v>
      </c>
      <c r="J447" s="3" t="s">
        <v>8</v>
      </c>
      <c r="K447" s="3" t="s">
        <v>14</v>
      </c>
      <c r="L447" s="3">
        <v>100</v>
      </c>
    </row>
    <row r="448" spans="1:12" x14ac:dyDescent="0.25">
      <c r="A448" s="44">
        <f t="shared" si="7"/>
        <v>1</v>
      </c>
      <c r="B448" s="50" t="str">
        <f>VLOOKUP(K448,Lookup!$A$1:$D$34,4,FALSE)</f>
        <v>zf_close</v>
      </c>
      <c r="C448" s="9">
        <v>43101</v>
      </c>
      <c r="D448" s="3">
        <v>2018</v>
      </c>
      <c r="E448" s="3">
        <v>1</v>
      </c>
      <c r="F448" s="3" t="s">
        <v>157</v>
      </c>
      <c r="G448" s="3">
        <v>1</v>
      </c>
      <c r="H448">
        <v>1</v>
      </c>
      <c r="I448" s="3">
        <v>1</v>
      </c>
      <c r="J448" s="3" t="s">
        <v>15</v>
      </c>
      <c r="K448" s="3" t="s">
        <v>9</v>
      </c>
      <c r="L448" s="3">
        <v>1200</v>
      </c>
    </row>
    <row r="449" spans="1:12" x14ac:dyDescent="0.25">
      <c r="A449" s="44">
        <f t="shared" si="7"/>
        <v>1</v>
      </c>
      <c r="B449" s="50" t="str">
        <f>VLOOKUP(K449,Lookup!$A$1:$D$34,4,FALSE)</f>
        <v>v_drawdown_rvlv</v>
      </c>
      <c r="C449" s="9">
        <v>43101</v>
      </c>
      <c r="D449" s="3">
        <v>2018</v>
      </c>
      <c r="E449" s="3">
        <v>1</v>
      </c>
      <c r="F449" s="3" t="s">
        <v>157</v>
      </c>
      <c r="G449" s="3">
        <v>1</v>
      </c>
      <c r="H449">
        <v>1</v>
      </c>
      <c r="I449" s="3">
        <v>1</v>
      </c>
      <c r="J449" s="3" t="s">
        <v>15</v>
      </c>
      <c r="K449" s="3" t="s">
        <v>24</v>
      </c>
      <c r="L449" s="3">
        <v>200</v>
      </c>
    </row>
    <row r="450" spans="1:12" x14ac:dyDescent="0.25">
      <c r="A450" s="44">
        <f t="shared" si="7"/>
        <v>1</v>
      </c>
      <c r="B450" s="50" t="str">
        <f>VLOOKUP(K450,Lookup!$A$1:$D$34,4,FALSE)</f>
        <v>a_open</v>
      </c>
      <c r="C450" s="9">
        <v>43101</v>
      </c>
      <c r="D450" s="3">
        <v>2018</v>
      </c>
      <c r="E450" s="3">
        <v>1</v>
      </c>
      <c r="F450" s="3" t="s">
        <v>157</v>
      </c>
      <c r="G450" s="3">
        <v>1</v>
      </c>
      <c r="H450">
        <v>1</v>
      </c>
      <c r="I450" s="3">
        <v>1</v>
      </c>
      <c r="J450" s="3" t="s">
        <v>15</v>
      </c>
      <c r="K450" s="3" t="s">
        <v>14</v>
      </c>
      <c r="L450" s="3">
        <v>1000</v>
      </c>
    </row>
    <row r="451" spans="1:12" x14ac:dyDescent="0.25">
      <c r="A451" s="44">
        <f t="shared" si="7"/>
        <v>1</v>
      </c>
      <c r="B451" s="50" t="str">
        <f>VLOOKUP(K451,Lookup!$A$1:$D$34,4,FALSE)</f>
        <v>zf_close</v>
      </c>
      <c r="C451" s="9">
        <v>43132</v>
      </c>
      <c r="D451" s="3">
        <v>2018</v>
      </c>
      <c r="E451" s="3">
        <v>2</v>
      </c>
      <c r="F451" s="3" t="s">
        <v>157</v>
      </c>
      <c r="G451" s="3">
        <v>1</v>
      </c>
      <c r="H451">
        <v>2</v>
      </c>
      <c r="I451" s="3">
        <v>2</v>
      </c>
      <c r="J451" s="3" t="s">
        <v>8</v>
      </c>
      <c r="K451" s="3" t="s">
        <v>9</v>
      </c>
      <c r="L451" s="3">
        <v>260</v>
      </c>
    </row>
    <row r="452" spans="1:12" x14ac:dyDescent="0.25">
      <c r="A452" s="44">
        <f t="shared" si="7"/>
        <v>1</v>
      </c>
      <c r="B452" s="50" t="str">
        <f>VLOOKUP(K452,Lookup!$A$1:$D$34,4,FALSE)</f>
        <v>zb_re-measure_migr</v>
      </c>
      <c r="C452" s="9">
        <v>43132</v>
      </c>
      <c r="D452" s="3">
        <v>2018</v>
      </c>
      <c r="E452" s="3">
        <v>2</v>
      </c>
      <c r="F452" s="3" t="s">
        <v>157</v>
      </c>
      <c r="G452" s="3">
        <v>1</v>
      </c>
      <c r="H452">
        <v>2</v>
      </c>
      <c r="I452" s="3">
        <v>2</v>
      </c>
      <c r="J452" s="3" t="s">
        <v>8</v>
      </c>
      <c r="K452" s="3" t="s">
        <v>12</v>
      </c>
      <c r="L452" s="3">
        <v>140</v>
      </c>
    </row>
    <row r="453" spans="1:12" x14ac:dyDescent="0.25">
      <c r="A453" s="44">
        <f t="shared" si="7"/>
        <v>1</v>
      </c>
      <c r="B453" s="50" t="str">
        <f>VLOOKUP(K453,Lookup!$A$1:$D$34,4,FALSE)</f>
        <v>b_tfr.1.2</v>
      </c>
      <c r="C453" s="9">
        <v>43132</v>
      </c>
      <c r="D453" s="3">
        <v>2018</v>
      </c>
      <c r="E453" s="3">
        <v>2</v>
      </c>
      <c r="F453" s="3" t="s">
        <v>157</v>
      </c>
      <c r="G453" s="3">
        <v>1</v>
      </c>
      <c r="H453">
        <v>2</v>
      </c>
      <c r="I453" s="3">
        <v>2</v>
      </c>
      <c r="J453" s="3" t="s">
        <v>8</v>
      </c>
      <c r="K453" s="3" t="s">
        <v>160</v>
      </c>
      <c r="L453" s="3">
        <v>120</v>
      </c>
    </row>
    <row r="454" spans="1:12" x14ac:dyDescent="0.25">
      <c r="A454" s="44">
        <f t="shared" si="7"/>
        <v>1</v>
      </c>
      <c r="B454" s="50" t="str">
        <f>VLOOKUP(K454,Lookup!$A$1:$D$34,4,FALSE)</f>
        <v>b_tfr.1.2</v>
      </c>
      <c r="C454" s="9">
        <v>43132</v>
      </c>
      <c r="D454" s="3">
        <v>2018</v>
      </c>
      <c r="E454" s="3">
        <v>2</v>
      </c>
      <c r="F454" s="3" t="s">
        <v>157</v>
      </c>
      <c r="G454" s="3">
        <v>1</v>
      </c>
      <c r="H454">
        <v>2</v>
      </c>
      <c r="I454" s="3">
        <v>1</v>
      </c>
      <c r="J454" s="3" t="s">
        <v>8</v>
      </c>
      <c r="K454" s="3" t="s">
        <v>160</v>
      </c>
      <c r="L454" s="3">
        <v>-120</v>
      </c>
    </row>
    <row r="455" spans="1:12" x14ac:dyDescent="0.25">
      <c r="A455" s="44">
        <f t="shared" si="7"/>
        <v>1</v>
      </c>
      <c r="B455" s="50" t="str">
        <f>VLOOKUP(K455,Lookup!$A$1:$D$34,4,FALSE)</f>
        <v>a_open</v>
      </c>
      <c r="C455" s="9">
        <v>43132</v>
      </c>
      <c r="D455" s="3">
        <v>2018</v>
      </c>
      <c r="E455" s="3">
        <v>2</v>
      </c>
      <c r="F455" s="3" t="s">
        <v>157</v>
      </c>
      <c r="G455" s="3">
        <v>1</v>
      </c>
      <c r="H455">
        <v>2</v>
      </c>
      <c r="I455" s="3">
        <v>1</v>
      </c>
      <c r="J455" s="3" t="s">
        <v>8</v>
      </c>
      <c r="K455" s="3" t="s">
        <v>14</v>
      </c>
      <c r="L455" s="3">
        <v>120</v>
      </c>
    </row>
    <row r="456" spans="1:12" x14ac:dyDescent="0.25">
      <c r="A456" s="44">
        <f t="shared" ref="A456:A519" si="8">IF(OR(AND(C456=$A$1,J456="op"),AND(C456=$A$2,J456="cl"),AND(C456&gt;=$A$1,C456&lt;=$A$2,J456&lt;&gt;"op",J456&lt;&gt;"cl")),1,0)</f>
        <v>1</v>
      </c>
      <c r="B456" s="50" t="str">
        <f>VLOOKUP(K456,Lookup!$A$1:$D$34,4,FALSE)</f>
        <v>zf_close</v>
      </c>
      <c r="C456" s="9">
        <v>43132</v>
      </c>
      <c r="D456" s="3">
        <v>2018</v>
      </c>
      <c r="E456" s="3">
        <v>2</v>
      </c>
      <c r="F456" s="3" t="s">
        <v>157</v>
      </c>
      <c r="G456" s="3">
        <v>1</v>
      </c>
      <c r="H456">
        <v>2</v>
      </c>
      <c r="I456" s="3">
        <v>2</v>
      </c>
      <c r="J456" s="3" t="s">
        <v>15</v>
      </c>
      <c r="K456" s="3" t="s">
        <v>9</v>
      </c>
      <c r="L456" s="3">
        <v>1300</v>
      </c>
    </row>
    <row r="457" spans="1:12" x14ac:dyDescent="0.25">
      <c r="A457" s="44">
        <f t="shared" si="8"/>
        <v>1</v>
      </c>
      <c r="B457" s="50" t="str">
        <f>VLOOKUP(K457,Lookup!$A$1:$D$34,4,FALSE)</f>
        <v>v_drawdown_rvlv</v>
      </c>
      <c r="C457" s="9">
        <v>43132</v>
      </c>
      <c r="D457" s="3">
        <v>2018</v>
      </c>
      <c r="E457" s="3">
        <v>2</v>
      </c>
      <c r="F457" s="3" t="s">
        <v>157</v>
      </c>
      <c r="G457" s="3">
        <v>1</v>
      </c>
      <c r="H457">
        <v>2</v>
      </c>
      <c r="I457" s="3">
        <v>1</v>
      </c>
      <c r="J457" s="3" t="s">
        <v>15</v>
      </c>
      <c r="K457" s="3" t="s">
        <v>24</v>
      </c>
      <c r="L457" s="3">
        <v>100</v>
      </c>
    </row>
    <row r="458" spans="1:12" x14ac:dyDescent="0.25">
      <c r="A458" s="44">
        <f t="shared" si="8"/>
        <v>1</v>
      </c>
      <c r="B458" s="50" t="str">
        <f>VLOOKUP(K458,Lookup!$A$1:$D$34,4,FALSE)</f>
        <v>b_tfr.1.2</v>
      </c>
      <c r="C458" s="9">
        <v>43132</v>
      </c>
      <c r="D458" s="3">
        <v>2018</v>
      </c>
      <c r="E458" s="3">
        <v>2</v>
      </c>
      <c r="F458" s="3" t="s">
        <v>157</v>
      </c>
      <c r="G458" s="3">
        <v>1</v>
      </c>
      <c r="H458">
        <v>2</v>
      </c>
      <c r="I458" s="3">
        <v>2</v>
      </c>
      <c r="J458" s="3" t="s">
        <v>15</v>
      </c>
      <c r="K458" s="3" t="s">
        <v>160</v>
      </c>
      <c r="L458" s="3">
        <v>1300</v>
      </c>
    </row>
    <row r="459" spans="1:12" x14ac:dyDescent="0.25">
      <c r="A459" s="44">
        <f t="shared" si="8"/>
        <v>1</v>
      </c>
      <c r="B459" s="50" t="str">
        <f>VLOOKUP(K459,Lookup!$A$1:$D$34,4,FALSE)</f>
        <v>b_tfr.1.2</v>
      </c>
      <c r="C459" s="9">
        <v>43132</v>
      </c>
      <c r="D459" s="3">
        <v>2018</v>
      </c>
      <c r="E459" s="3">
        <v>2</v>
      </c>
      <c r="F459" s="3" t="s">
        <v>157</v>
      </c>
      <c r="G459" s="3">
        <v>1</v>
      </c>
      <c r="H459">
        <v>2</v>
      </c>
      <c r="I459" s="3">
        <v>1</v>
      </c>
      <c r="J459" s="3" t="s">
        <v>15</v>
      </c>
      <c r="K459" s="3" t="s">
        <v>160</v>
      </c>
      <c r="L459" s="3">
        <v>-1300</v>
      </c>
    </row>
    <row r="460" spans="1:12" x14ac:dyDescent="0.25">
      <c r="A460" s="44">
        <f t="shared" si="8"/>
        <v>1</v>
      </c>
      <c r="B460" s="50" t="str">
        <f>VLOOKUP(K460,Lookup!$A$1:$D$34,4,FALSE)</f>
        <v>a_open</v>
      </c>
      <c r="C460" s="9">
        <v>43132</v>
      </c>
      <c r="D460" s="3">
        <v>2018</v>
      </c>
      <c r="E460" s="3">
        <v>2</v>
      </c>
      <c r="F460" s="3" t="s">
        <v>157</v>
      </c>
      <c r="G460" s="3">
        <v>1</v>
      </c>
      <c r="H460">
        <v>2</v>
      </c>
      <c r="I460" s="3">
        <v>1</v>
      </c>
      <c r="J460" s="3" t="s">
        <v>15</v>
      </c>
      <c r="K460" s="3" t="s">
        <v>14</v>
      </c>
      <c r="L460" s="3">
        <v>1200</v>
      </c>
    </row>
    <row r="461" spans="1:12" x14ac:dyDescent="0.25">
      <c r="A461" s="44">
        <f t="shared" si="8"/>
        <v>1</v>
      </c>
      <c r="B461" s="50" t="str">
        <f>VLOOKUP(K461,Lookup!$A$1:$D$34,4,FALSE)</f>
        <v>zf_close</v>
      </c>
      <c r="C461" s="9">
        <v>43160</v>
      </c>
      <c r="D461" s="3">
        <v>2018</v>
      </c>
      <c r="E461" s="3">
        <v>3</v>
      </c>
      <c r="F461" s="3" t="s">
        <v>157</v>
      </c>
      <c r="G461" s="3">
        <v>2</v>
      </c>
      <c r="H461">
        <v>2</v>
      </c>
      <c r="I461" s="3">
        <v>2</v>
      </c>
      <c r="J461" s="3" t="s">
        <v>8</v>
      </c>
      <c r="K461" s="3" t="s">
        <v>9</v>
      </c>
      <c r="L461" s="3">
        <v>220</v>
      </c>
    </row>
    <row r="462" spans="1:12" x14ac:dyDescent="0.25">
      <c r="A462" s="44">
        <f t="shared" si="8"/>
        <v>1</v>
      </c>
      <c r="B462" s="50" t="str">
        <f>VLOOKUP(K462,Lookup!$A$1:$D$34,4,FALSE)</f>
        <v>za_re-measure_no_migr</v>
      </c>
      <c r="C462" s="9">
        <v>43160</v>
      </c>
      <c r="D462" s="3">
        <v>2018</v>
      </c>
      <c r="E462" s="3">
        <v>3</v>
      </c>
      <c r="F462" s="3" t="s">
        <v>157</v>
      </c>
      <c r="G462" s="3">
        <v>2</v>
      </c>
      <c r="H462">
        <v>2</v>
      </c>
      <c r="I462" s="3">
        <v>2</v>
      </c>
      <c r="J462" s="3" t="s">
        <v>8</v>
      </c>
      <c r="K462" s="3" t="s">
        <v>11</v>
      </c>
      <c r="L462" s="3">
        <v>-40</v>
      </c>
    </row>
    <row r="463" spans="1:12" x14ac:dyDescent="0.25">
      <c r="A463" s="44">
        <f t="shared" si="8"/>
        <v>1</v>
      </c>
      <c r="B463" s="50" t="str">
        <f>VLOOKUP(K463,Lookup!$A$1:$D$34,4,FALSE)</f>
        <v>a_open</v>
      </c>
      <c r="C463" s="9">
        <v>43160</v>
      </c>
      <c r="D463" s="3">
        <v>2018</v>
      </c>
      <c r="E463" s="3">
        <v>3</v>
      </c>
      <c r="F463" s="3" t="s">
        <v>157</v>
      </c>
      <c r="G463" s="3">
        <v>2</v>
      </c>
      <c r="H463">
        <v>2</v>
      </c>
      <c r="I463" s="3">
        <v>2</v>
      </c>
      <c r="J463" s="3" t="s">
        <v>8</v>
      </c>
      <c r="K463" s="3" t="s">
        <v>14</v>
      </c>
      <c r="L463" s="3">
        <v>260</v>
      </c>
    </row>
    <row r="464" spans="1:12" x14ac:dyDescent="0.25">
      <c r="A464" s="44">
        <f t="shared" si="8"/>
        <v>1</v>
      </c>
      <c r="B464" s="50" t="str">
        <f>VLOOKUP(K464,Lookup!$A$1:$D$34,4,FALSE)</f>
        <v>zf_close</v>
      </c>
      <c r="C464" s="9">
        <v>43160</v>
      </c>
      <c r="D464" s="3">
        <v>2018</v>
      </c>
      <c r="E464" s="3">
        <v>3</v>
      </c>
      <c r="F464" s="3" t="s">
        <v>157</v>
      </c>
      <c r="G464" s="3">
        <v>2</v>
      </c>
      <c r="H464">
        <v>2</v>
      </c>
      <c r="I464" s="3">
        <v>2</v>
      </c>
      <c r="J464" s="3" t="s">
        <v>15</v>
      </c>
      <c r="K464" s="3" t="s">
        <v>9</v>
      </c>
      <c r="L464" s="3">
        <v>1100</v>
      </c>
    </row>
    <row r="465" spans="1:12" x14ac:dyDescent="0.25">
      <c r="A465" s="44">
        <f t="shared" si="8"/>
        <v>1</v>
      </c>
      <c r="B465" s="50" t="str">
        <f>VLOOKUP(K465,Lookup!$A$1:$D$34,4,FALSE)</f>
        <v>v_drawdown_rvlv</v>
      </c>
      <c r="C465" s="9">
        <v>43160</v>
      </c>
      <c r="D465" s="3">
        <v>2018</v>
      </c>
      <c r="E465" s="3">
        <v>3</v>
      </c>
      <c r="F465" s="3" t="s">
        <v>157</v>
      </c>
      <c r="G465" s="3">
        <v>2</v>
      </c>
      <c r="H465">
        <v>2</v>
      </c>
      <c r="I465" s="3">
        <v>2</v>
      </c>
      <c r="J465" s="3" t="s">
        <v>15</v>
      </c>
      <c r="K465" s="3" t="s">
        <v>24</v>
      </c>
      <c r="L465" s="3">
        <v>-200</v>
      </c>
    </row>
    <row r="466" spans="1:12" x14ac:dyDescent="0.25">
      <c r="A466" s="44">
        <f t="shared" si="8"/>
        <v>1</v>
      </c>
      <c r="B466" s="50" t="str">
        <f>VLOOKUP(K466,Lookup!$A$1:$D$34,4,FALSE)</f>
        <v>a_open</v>
      </c>
      <c r="C466" s="9">
        <v>43160</v>
      </c>
      <c r="D466" s="3">
        <v>2018</v>
      </c>
      <c r="E466" s="3">
        <v>3</v>
      </c>
      <c r="F466" s="3" t="s">
        <v>157</v>
      </c>
      <c r="G466" s="3">
        <v>2</v>
      </c>
      <c r="H466">
        <v>2</v>
      </c>
      <c r="I466" s="3">
        <v>2</v>
      </c>
      <c r="J466" s="3" t="s">
        <v>15</v>
      </c>
      <c r="K466" s="3" t="s">
        <v>14</v>
      </c>
      <c r="L466" s="3">
        <v>1300</v>
      </c>
    </row>
    <row r="467" spans="1:12" x14ac:dyDescent="0.25">
      <c r="A467" s="44">
        <f t="shared" si="8"/>
        <v>1</v>
      </c>
      <c r="B467" s="50" t="str">
        <f>VLOOKUP(K467,Lookup!$A$1:$D$34,4,FALSE)</f>
        <v>zf_close</v>
      </c>
      <c r="C467" s="9">
        <v>43191</v>
      </c>
      <c r="D467" s="3">
        <v>2018</v>
      </c>
      <c r="E467" s="3">
        <v>4</v>
      </c>
      <c r="F467" s="3" t="s">
        <v>157</v>
      </c>
      <c r="G467" s="3">
        <v>2</v>
      </c>
      <c r="H467">
        <v>3</v>
      </c>
      <c r="I467" s="3">
        <v>3</v>
      </c>
      <c r="J467" s="3" t="s">
        <v>8</v>
      </c>
      <c r="K467" s="3" t="s">
        <v>9</v>
      </c>
      <c r="L467" s="3">
        <v>270</v>
      </c>
    </row>
    <row r="468" spans="1:12" x14ac:dyDescent="0.25">
      <c r="A468" s="44">
        <f t="shared" si="8"/>
        <v>1</v>
      </c>
      <c r="B468" s="50" t="str">
        <f>VLOOKUP(K468,Lookup!$A$1:$D$34,4,FALSE)</f>
        <v>zb_re-measure_migr</v>
      </c>
      <c r="C468" s="9">
        <v>43191</v>
      </c>
      <c r="D468" s="3">
        <v>2018</v>
      </c>
      <c r="E468" s="3">
        <v>4</v>
      </c>
      <c r="F468" s="3" t="s">
        <v>157</v>
      </c>
      <c r="G468" s="3">
        <v>2</v>
      </c>
      <c r="H468">
        <v>3</v>
      </c>
      <c r="I468" s="3">
        <v>3</v>
      </c>
      <c r="J468" s="3" t="s">
        <v>8</v>
      </c>
      <c r="K468" s="3" t="s">
        <v>12</v>
      </c>
      <c r="L468" s="3">
        <v>50</v>
      </c>
    </row>
    <row r="469" spans="1:12" x14ac:dyDescent="0.25">
      <c r="A469" s="44">
        <f t="shared" si="8"/>
        <v>1</v>
      </c>
      <c r="B469" s="50" t="str">
        <f>VLOOKUP(K469,Lookup!$A$1:$D$34,4,FALSE)</f>
        <v>g_tfr.2.3</v>
      </c>
      <c r="C469" s="9">
        <v>43191</v>
      </c>
      <c r="D469" s="3">
        <v>2018</v>
      </c>
      <c r="E469" s="3">
        <v>4</v>
      </c>
      <c r="F469" s="3" t="s">
        <v>157</v>
      </c>
      <c r="G469" s="3">
        <v>2</v>
      </c>
      <c r="H469">
        <v>3</v>
      </c>
      <c r="I469" s="3">
        <v>3</v>
      </c>
      <c r="J469" s="3" t="s">
        <v>8</v>
      </c>
      <c r="K469" s="3" t="s">
        <v>159</v>
      </c>
      <c r="L469" s="3">
        <v>220</v>
      </c>
    </row>
    <row r="470" spans="1:12" x14ac:dyDescent="0.25">
      <c r="A470" s="44">
        <f t="shared" si="8"/>
        <v>1</v>
      </c>
      <c r="B470" s="50" t="str">
        <f>VLOOKUP(K470,Lookup!$A$1:$D$34,4,FALSE)</f>
        <v>g_tfr.2.3</v>
      </c>
      <c r="C470" s="9">
        <v>43191</v>
      </c>
      <c r="D470" s="3">
        <v>2018</v>
      </c>
      <c r="E470" s="3">
        <v>4</v>
      </c>
      <c r="F470" s="3" t="s">
        <v>157</v>
      </c>
      <c r="G470" s="3">
        <v>2</v>
      </c>
      <c r="H470">
        <v>3</v>
      </c>
      <c r="I470" s="3">
        <v>2</v>
      </c>
      <c r="J470" s="3" t="s">
        <v>8</v>
      </c>
      <c r="K470" s="3" t="s">
        <v>159</v>
      </c>
      <c r="L470" s="3">
        <v>-220</v>
      </c>
    </row>
    <row r="471" spans="1:12" x14ac:dyDescent="0.25">
      <c r="A471" s="44">
        <f t="shared" si="8"/>
        <v>1</v>
      </c>
      <c r="B471" s="50" t="str">
        <f>VLOOKUP(K471,Lookup!$A$1:$D$34,4,FALSE)</f>
        <v>a_open</v>
      </c>
      <c r="C471" s="9">
        <v>43191</v>
      </c>
      <c r="D471" s="3">
        <v>2018</v>
      </c>
      <c r="E471" s="3">
        <v>4</v>
      </c>
      <c r="F471" s="3" t="s">
        <v>157</v>
      </c>
      <c r="G471" s="3">
        <v>2</v>
      </c>
      <c r="H471">
        <v>3</v>
      </c>
      <c r="I471" s="3">
        <v>2</v>
      </c>
      <c r="J471" s="3" t="s">
        <v>8</v>
      </c>
      <c r="K471" s="3" t="s">
        <v>14</v>
      </c>
      <c r="L471" s="3">
        <v>220</v>
      </c>
    </row>
    <row r="472" spans="1:12" x14ac:dyDescent="0.25">
      <c r="A472" s="44">
        <f t="shared" si="8"/>
        <v>1</v>
      </c>
      <c r="B472" s="50" t="str">
        <f>VLOOKUP(K472,Lookup!$A$1:$D$34,4,FALSE)</f>
        <v>zf_close</v>
      </c>
      <c r="C472" s="9">
        <v>43191</v>
      </c>
      <c r="D472" s="3">
        <v>2018</v>
      </c>
      <c r="E472" s="3">
        <v>4</v>
      </c>
      <c r="F472" s="3" t="s">
        <v>157</v>
      </c>
      <c r="G472" s="3">
        <v>2</v>
      </c>
      <c r="H472">
        <v>3</v>
      </c>
      <c r="I472" s="3">
        <v>3</v>
      </c>
      <c r="J472" s="3" t="s">
        <v>15</v>
      </c>
      <c r="K472" s="3" t="s">
        <v>9</v>
      </c>
      <c r="L472" s="3">
        <v>900</v>
      </c>
    </row>
    <row r="473" spans="1:12" x14ac:dyDescent="0.25">
      <c r="A473" s="44">
        <f t="shared" si="8"/>
        <v>1</v>
      </c>
      <c r="B473" s="50" t="str">
        <f>VLOOKUP(K473,Lookup!$A$1:$D$34,4,FALSE)</f>
        <v>v_drawdown_rvlv</v>
      </c>
      <c r="C473" s="9">
        <v>43191</v>
      </c>
      <c r="D473" s="3">
        <v>2018</v>
      </c>
      <c r="E473" s="3">
        <v>4</v>
      </c>
      <c r="F473" s="3" t="s">
        <v>157</v>
      </c>
      <c r="G473" s="3">
        <v>2</v>
      </c>
      <c r="H473">
        <v>3</v>
      </c>
      <c r="I473" s="3">
        <v>3</v>
      </c>
      <c r="J473" s="3" t="s">
        <v>15</v>
      </c>
      <c r="K473" s="3" t="s">
        <v>24</v>
      </c>
      <c r="L473" s="3">
        <v>-100</v>
      </c>
    </row>
    <row r="474" spans="1:12" x14ac:dyDescent="0.25">
      <c r="A474" s="44">
        <f t="shared" si="8"/>
        <v>1</v>
      </c>
      <c r="B474" s="50" t="str">
        <f>VLOOKUP(K474,Lookup!$A$1:$D$34,4,FALSE)</f>
        <v>v_repay_rvlv</v>
      </c>
      <c r="C474" s="9">
        <v>43191</v>
      </c>
      <c r="D474" s="3">
        <v>2018</v>
      </c>
      <c r="E474" s="3">
        <v>4</v>
      </c>
      <c r="F474" s="3" t="s">
        <v>157</v>
      </c>
      <c r="G474" s="3">
        <v>2</v>
      </c>
      <c r="H474">
        <v>3</v>
      </c>
      <c r="I474" s="3">
        <v>3</v>
      </c>
      <c r="J474" s="3" t="s">
        <v>15</v>
      </c>
      <c r="K474" s="3" t="s">
        <v>10</v>
      </c>
      <c r="L474" s="3">
        <v>-100</v>
      </c>
    </row>
    <row r="475" spans="1:12" x14ac:dyDescent="0.25">
      <c r="A475" s="44">
        <f t="shared" si="8"/>
        <v>1</v>
      </c>
      <c r="B475" s="50" t="str">
        <f>VLOOKUP(K475,Lookup!$A$1:$D$34,4,FALSE)</f>
        <v>g_tfr.2.3</v>
      </c>
      <c r="C475" s="9">
        <v>43191</v>
      </c>
      <c r="D475" s="3">
        <v>2018</v>
      </c>
      <c r="E475" s="3">
        <v>4</v>
      </c>
      <c r="F475" s="3" t="s">
        <v>157</v>
      </c>
      <c r="G475" s="3">
        <v>2</v>
      </c>
      <c r="H475">
        <v>3</v>
      </c>
      <c r="I475" s="3">
        <v>3</v>
      </c>
      <c r="J475" s="3" t="s">
        <v>15</v>
      </c>
      <c r="K475" s="3" t="s">
        <v>159</v>
      </c>
      <c r="L475" s="3">
        <v>1100</v>
      </c>
    </row>
    <row r="476" spans="1:12" x14ac:dyDescent="0.25">
      <c r="A476" s="44">
        <f t="shared" si="8"/>
        <v>1</v>
      </c>
      <c r="B476" s="50" t="str">
        <f>VLOOKUP(K476,Lookup!$A$1:$D$34,4,FALSE)</f>
        <v>g_tfr.2.3</v>
      </c>
      <c r="C476" s="9">
        <v>43191</v>
      </c>
      <c r="D476" s="3">
        <v>2018</v>
      </c>
      <c r="E476" s="3">
        <v>4</v>
      </c>
      <c r="F476" s="3" t="s">
        <v>157</v>
      </c>
      <c r="G476" s="3">
        <v>2</v>
      </c>
      <c r="H476">
        <v>3</v>
      </c>
      <c r="I476" s="3">
        <v>2</v>
      </c>
      <c r="J476" s="3" t="s">
        <v>15</v>
      </c>
      <c r="K476" s="3" t="s">
        <v>159</v>
      </c>
      <c r="L476" s="3">
        <v>-1100</v>
      </c>
    </row>
    <row r="477" spans="1:12" x14ac:dyDescent="0.25">
      <c r="A477" s="44">
        <f t="shared" si="8"/>
        <v>1</v>
      </c>
      <c r="B477" s="50" t="str">
        <f>VLOOKUP(K477,Lookup!$A$1:$D$34,4,FALSE)</f>
        <v>a_open</v>
      </c>
      <c r="C477" s="9">
        <v>43191</v>
      </c>
      <c r="D477" s="3">
        <v>2018</v>
      </c>
      <c r="E477" s="3">
        <v>4</v>
      </c>
      <c r="F477" s="3" t="s">
        <v>157</v>
      </c>
      <c r="G477" s="3">
        <v>2</v>
      </c>
      <c r="H477">
        <v>3</v>
      </c>
      <c r="I477" s="3">
        <v>2</v>
      </c>
      <c r="J477" s="3" t="s">
        <v>15</v>
      </c>
      <c r="K477" s="3" t="s">
        <v>14</v>
      </c>
      <c r="L477" s="3">
        <v>1100</v>
      </c>
    </row>
    <row r="478" spans="1:12" x14ac:dyDescent="0.25">
      <c r="A478" s="44">
        <f t="shared" si="8"/>
        <v>1</v>
      </c>
      <c r="B478" s="50" t="str">
        <f>VLOOKUP(K478,Lookup!$A$1:$D$34,4,FALSE)</f>
        <v>zf_close</v>
      </c>
      <c r="C478" s="9">
        <v>43221</v>
      </c>
      <c r="D478" s="3">
        <v>2018</v>
      </c>
      <c r="E478" s="3">
        <v>5</v>
      </c>
      <c r="F478" s="3" t="s">
        <v>157</v>
      </c>
      <c r="G478" s="3">
        <v>3</v>
      </c>
      <c r="H478">
        <v>3</v>
      </c>
      <c r="I478" s="3">
        <v>3</v>
      </c>
      <c r="J478" s="3" t="s">
        <v>8</v>
      </c>
      <c r="K478" s="3" t="s">
        <v>9</v>
      </c>
      <c r="L478" s="3">
        <v>240</v>
      </c>
    </row>
    <row r="479" spans="1:12" x14ac:dyDescent="0.25">
      <c r="A479" s="44">
        <f t="shared" si="8"/>
        <v>1</v>
      </c>
      <c r="B479" s="50" t="str">
        <f>VLOOKUP(K479,Lookup!$A$1:$D$34,4,FALSE)</f>
        <v>za_re-measure_no_migr</v>
      </c>
      <c r="C479" s="9">
        <v>43221</v>
      </c>
      <c r="D479" s="3">
        <v>2018</v>
      </c>
      <c r="E479" s="3">
        <v>5</v>
      </c>
      <c r="F479" s="3" t="s">
        <v>157</v>
      </c>
      <c r="G479" s="3">
        <v>3</v>
      </c>
      <c r="H479">
        <v>3</v>
      </c>
      <c r="I479" s="3">
        <v>3</v>
      </c>
      <c r="J479" s="3" t="s">
        <v>8</v>
      </c>
      <c r="K479" s="3" t="s">
        <v>11</v>
      </c>
      <c r="L479" s="3">
        <v>-30</v>
      </c>
    </row>
    <row r="480" spans="1:12" x14ac:dyDescent="0.25">
      <c r="A480" s="44">
        <f t="shared" si="8"/>
        <v>1</v>
      </c>
      <c r="B480" s="50" t="str">
        <f>VLOOKUP(K480,Lookup!$A$1:$D$34,4,FALSE)</f>
        <v>a_open</v>
      </c>
      <c r="C480" s="9">
        <v>43221</v>
      </c>
      <c r="D480" s="3">
        <v>2018</v>
      </c>
      <c r="E480" s="3">
        <v>5</v>
      </c>
      <c r="F480" s="3" t="s">
        <v>157</v>
      </c>
      <c r="G480" s="3">
        <v>3</v>
      </c>
      <c r="H480">
        <v>3</v>
      </c>
      <c r="I480" s="3">
        <v>3</v>
      </c>
      <c r="J480" s="3" t="s">
        <v>8</v>
      </c>
      <c r="K480" s="3" t="s">
        <v>14</v>
      </c>
      <c r="L480" s="3">
        <v>270</v>
      </c>
    </row>
    <row r="481" spans="1:12" x14ac:dyDescent="0.25">
      <c r="A481" s="44">
        <f t="shared" si="8"/>
        <v>1</v>
      </c>
      <c r="B481" s="50" t="str">
        <f>VLOOKUP(K481,Lookup!$A$1:$D$34,4,FALSE)</f>
        <v>zf_close</v>
      </c>
      <c r="C481" s="9">
        <v>43221</v>
      </c>
      <c r="D481" s="3">
        <v>2018</v>
      </c>
      <c r="E481" s="3">
        <v>5</v>
      </c>
      <c r="F481" s="3" t="s">
        <v>157</v>
      </c>
      <c r="G481" s="3">
        <v>3</v>
      </c>
      <c r="H481">
        <v>3</v>
      </c>
      <c r="I481" s="3">
        <v>3</v>
      </c>
      <c r="J481" s="3" t="s">
        <v>15</v>
      </c>
      <c r="K481" s="3" t="s">
        <v>9</v>
      </c>
      <c r="L481" s="3">
        <v>800</v>
      </c>
    </row>
    <row r="482" spans="1:12" x14ac:dyDescent="0.25">
      <c r="A482" s="44">
        <f t="shared" si="8"/>
        <v>1</v>
      </c>
      <c r="B482" s="50" t="str">
        <f>VLOOKUP(K482,Lookup!$A$1:$D$34,4,FALSE)</f>
        <v>v_repay_rvlv</v>
      </c>
      <c r="C482" s="9">
        <v>43221</v>
      </c>
      <c r="D482" s="3">
        <v>2018</v>
      </c>
      <c r="E482" s="3">
        <v>5</v>
      </c>
      <c r="F482" s="3" t="s">
        <v>157</v>
      </c>
      <c r="G482" s="3">
        <v>3</v>
      </c>
      <c r="H482">
        <v>3</v>
      </c>
      <c r="I482" s="3">
        <v>3</v>
      </c>
      <c r="J482" s="3" t="s">
        <v>15</v>
      </c>
      <c r="K482" s="3" t="s">
        <v>10</v>
      </c>
      <c r="L482" s="3">
        <v>-100</v>
      </c>
    </row>
    <row r="483" spans="1:12" x14ac:dyDescent="0.25">
      <c r="A483" s="44">
        <f t="shared" si="8"/>
        <v>1</v>
      </c>
      <c r="B483" s="50" t="str">
        <f>VLOOKUP(K483,Lookup!$A$1:$D$34,4,FALSE)</f>
        <v>a_open</v>
      </c>
      <c r="C483" s="9">
        <v>43221</v>
      </c>
      <c r="D483" s="3">
        <v>2018</v>
      </c>
      <c r="E483" s="3">
        <v>5</v>
      </c>
      <c r="F483" s="3" t="s">
        <v>157</v>
      </c>
      <c r="G483" s="3">
        <v>3</v>
      </c>
      <c r="H483">
        <v>3</v>
      </c>
      <c r="I483" s="3">
        <v>3</v>
      </c>
      <c r="J483" s="3" t="s">
        <v>15</v>
      </c>
      <c r="K483" s="3" t="s">
        <v>14</v>
      </c>
      <c r="L483" s="3">
        <v>900</v>
      </c>
    </row>
    <row r="484" spans="1:12" x14ac:dyDescent="0.25">
      <c r="A484" s="44">
        <f t="shared" si="8"/>
        <v>1</v>
      </c>
      <c r="B484" s="50" t="str">
        <f>VLOOKUP(K484,Lookup!$A$1:$D$34,4,FALSE)</f>
        <v>zf_close</v>
      </c>
      <c r="C484" s="9">
        <v>43252</v>
      </c>
      <c r="D484" s="3">
        <v>2018</v>
      </c>
      <c r="E484" s="3">
        <v>6</v>
      </c>
      <c r="F484" s="3" t="s">
        <v>157</v>
      </c>
      <c r="G484" s="3">
        <v>3</v>
      </c>
      <c r="H484">
        <v>3</v>
      </c>
      <c r="I484" s="3">
        <v>3</v>
      </c>
      <c r="J484" s="3" t="s">
        <v>8</v>
      </c>
      <c r="K484" s="3" t="s">
        <v>9</v>
      </c>
      <c r="L484" s="3">
        <v>330</v>
      </c>
    </row>
    <row r="485" spans="1:12" x14ac:dyDescent="0.25">
      <c r="A485" s="44">
        <f t="shared" si="8"/>
        <v>1</v>
      </c>
      <c r="B485" s="50" t="str">
        <f>VLOOKUP(K485,Lookup!$A$1:$D$34,4,FALSE)</f>
        <v>za_re-measure_no_migr</v>
      </c>
      <c r="C485" s="9">
        <v>43252</v>
      </c>
      <c r="D485" s="3">
        <v>2018</v>
      </c>
      <c r="E485" s="3">
        <v>6</v>
      </c>
      <c r="F485" s="3" t="s">
        <v>157</v>
      </c>
      <c r="G485" s="3">
        <v>3</v>
      </c>
      <c r="H485">
        <v>3</v>
      </c>
      <c r="I485" s="3">
        <v>3</v>
      </c>
      <c r="J485" s="3" t="s">
        <v>8</v>
      </c>
      <c r="K485" s="3" t="s">
        <v>11</v>
      </c>
      <c r="L485" s="3">
        <v>90</v>
      </c>
    </row>
    <row r="486" spans="1:12" x14ac:dyDescent="0.25">
      <c r="A486" s="44">
        <f t="shared" si="8"/>
        <v>1</v>
      </c>
      <c r="B486" s="50" t="str">
        <f>VLOOKUP(K486,Lookup!$A$1:$D$34,4,FALSE)</f>
        <v>a_open</v>
      </c>
      <c r="C486" s="9">
        <v>43252</v>
      </c>
      <c r="D486" s="3">
        <v>2018</v>
      </c>
      <c r="E486" s="3">
        <v>6</v>
      </c>
      <c r="F486" s="3" t="s">
        <v>157</v>
      </c>
      <c r="G486" s="3">
        <v>3</v>
      </c>
      <c r="H486">
        <v>3</v>
      </c>
      <c r="I486" s="3">
        <v>3</v>
      </c>
      <c r="J486" s="3" t="s">
        <v>8</v>
      </c>
      <c r="K486" s="3" t="s">
        <v>14</v>
      </c>
      <c r="L486" s="3">
        <v>240</v>
      </c>
    </row>
    <row r="487" spans="1:12" x14ac:dyDescent="0.25">
      <c r="A487" s="44">
        <f t="shared" si="8"/>
        <v>1</v>
      </c>
      <c r="B487" s="50" t="str">
        <f>VLOOKUP(K487,Lookup!$A$1:$D$34,4,FALSE)</f>
        <v>zf_close</v>
      </c>
      <c r="C487" s="9">
        <v>43252</v>
      </c>
      <c r="D487" s="3">
        <v>2018</v>
      </c>
      <c r="E487" s="3">
        <v>6</v>
      </c>
      <c r="F487" s="3" t="s">
        <v>157</v>
      </c>
      <c r="G487" s="3">
        <v>3</v>
      </c>
      <c r="H487">
        <v>3</v>
      </c>
      <c r="I487" s="3">
        <v>3</v>
      </c>
      <c r="J487" s="3" t="s">
        <v>15</v>
      </c>
      <c r="K487" s="3" t="s">
        <v>9</v>
      </c>
      <c r="L487" s="3">
        <v>1100</v>
      </c>
    </row>
    <row r="488" spans="1:12" x14ac:dyDescent="0.25">
      <c r="A488" s="44">
        <f t="shared" si="8"/>
        <v>1</v>
      </c>
      <c r="B488" s="50" t="str">
        <f>VLOOKUP(K488,Lookup!$A$1:$D$34,4,FALSE)</f>
        <v>v_drawdown_rvlv</v>
      </c>
      <c r="C488" s="9">
        <v>43252</v>
      </c>
      <c r="D488" s="3">
        <v>2018</v>
      </c>
      <c r="E488" s="3">
        <v>6</v>
      </c>
      <c r="F488" s="3" t="s">
        <v>157</v>
      </c>
      <c r="G488" s="3">
        <v>3</v>
      </c>
      <c r="H488">
        <v>3</v>
      </c>
      <c r="I488" s="3">
        <v>3</v>
      </c>
      <c r="J488" s="3" t="s">
        <v>15</v>
      </c>
      <c r="K488" s="3" t="s">
        <v>24</v>
      </c>
      <c r="L488" s="3">
        <v>100</v>
      </c>
    </row>
    <row r="489" spans="1:12" x14ac:dyDescent="0.25">
      <c r="A489" s="44">
        <f t="shared" si="8"/>
        <v>1</v>
      </c>
      <c r="B489" s="50" t="str">
        <f>VLOOKUP(K489,Lookup!$A$1:$D$34,4,FALSE)</f>
        <v>v_repay_rvlv</v>
      </c>
      <c r="C489" s="9">
        <v>43252</v>
      </c>
      <c r="D489" s="3">
        <v>2018</v>
      </c>
      <c r="E489" s="3">
        <v>6</v>
      </c>
      <c r="F489" s="3" t="s">
        <v>157</v>
      </c>
      <c r="G489" s="3">
        <v>3</v>
      </c>
      <c r="H489">
        <v>3</v>
      </c>
      <c r="I489" s="3">
        <v>3</v>
      </c>
      <c r="J489" s="3" t="s">
        <v>15</v>
      </c>
      <c r="K489" s="3" t="s">
        <v>10</v>
      </c>
      <c r="L489" s="3">
        <v>200</v>
      </c>
    </row>
    <row r="490" spans="1:12" x14ac:dyDescent="0.25">
      <c r="A490" s="44">
        <f t="shared" si="8"/>
        <v>1</v>
      </c>
      <c r="B490" s="50" t="str">
        <f>VLOOKUP(K490,Lookup!$A$1:$D$34,4,FALSE)</f>
        <v>a_open</v>
      </c>
      <c r="C490" s="9">
        <v>43252</v>
      </c>
      <c r="D490" s="3">
        <v>2018</v>
      </c>
      <c r="E490" s="3">
        <v>6</v>
      </c>
      <c r="F490" s="3" t="s">
        <v>157</v>
      </c>
      <c r="G490" s="3">
        <v>3</v>
      </c>
      <c r="H490">
        <v>3</v>
      </c>
      <c r="I490" s="3">
        <v>3</v>
      </c>
      <c r="J490" s="3" t="s">
        <v>15</v>
      </c>
      <c r="K490" s="3" t="s">
        <v>14</v>
      </c>
      <c r="L490" s="3">
        <v>800</v>
      </c>
    </row>
    <row r="491" spans="1:12" x14ac:dyDescent="0.25">
      <c r="A491" s="44">
        <f t="shared" si="8"/>
        <v>1</v>
      </c>
      <c r="B491" s="50" t="str">
        <f>VLOOKUP(K491,Lookup!$A$1:$D$34,4,FALSE)</f>
        <v>zf_close</v>
      </c>
      <c r="C491" s="9">
        <v>43282</v>
      </c>
      <c r="D491" s="3">
        <v>2018</v>
      </c>
      <c r="E491" s="3">
        <v>7</v>
      </c>
      <c r="F491" s="3" t="s">
        <v>157</v>
      </c>
      <c r="G491" s="3">
        <v>3</v>
      </c>
      <c r="H491">
        <v>2</v>
      </c>
      <c r="I491" s="3">
        <v>2</v>
      </c>
      <c r="J491" s="3" t="s">
        <v>8</v>
      </c>
      <c r="K491" s="3" t="s">
        <v>9</v>
      </c>
      <c r="L491" s="3">
        <v>180</v>
      </c>
    </row>
    <row r="492" spans="1:12" x14ac:dyDescent="0.25">
      <c r="A492" s="44">
        <f t="shared" si="8"/>
        <v>1</v>
      </c>
      <c r="B492" s="50" t="str">
        <f>VLOOKUP(K492,Lookup!$A$1:$D$34,4,FALSE)</f>
        <v>zb_re-measure_migr</v>
      </c>
      <c r="C492" s="9">
        <v>43282</v>
      </c>
      <c r="D492" s="3">
        <v>2018</v>
      </c>
      <c r="E492" s="3">
        <v>7</v>
      </c>
      <c r="F492" s="3" t="s">
        <v>157</v>
      </c>
      <c r="G492" s="3">
        <v>3</v>
      </c>
      <c r="H492">
        <v>2</v>
      </c>
      <c r="I492" s="3">
        <v>2</v>
      </c>
      <c r="J492" s="3" t="s">
        <v>8</v>
      </c>
      <c r="K492" s="3" t="s">
        <v>12</v>
      </c>
      <c r="L492" s="3">
        <v>-150</v>
      </c>
    </row>
    <row r="493" spans="1:12" x14ac:dyDescent="0.25">
      <c r="A493" s="44">
        <f t="shared" si="8"/>
        <v>1</v>
      </c>
      <c r="B493" s="50" t="str">
        <f>VLOOKUP(K493,Lookup!$A$1:$D$34,4,FALSE)</f>
        <v>k_tfr.3.2</v>
      </c>
      <c r="C493" s="9">
        <v>43282</v>
      </c>
      <c r="D493" s="3">
        <v>2018</v>
      </c>
      <c r="E493" s="3">
        <v>7</v>
      </c>
      <c r="F493" s="3" t="s">
        <v>157</v>
      </c>
      <c r="G493" s="3">
        <v>3</v>
      </c>
      <c r="H493">
        <v>2</v>
      </c>
      <c r="I493" s="3">
        <v>2</v>
      </c>
      <c r="J493" s="3" t="s">
        <v>8</v>
      </c>
      <c r="K493" s="3" t="s">
        <v>158</v>
      </c>
      <c r="L493" s="3">
        <v>330</v>
      </c>
    </row>
    <row r="494" spans="1:12" x14ac:dyDescent="0.25">
      <c r="A494" s="44">
        <f t="shared" si="8"/>
        <v>1</v>
      </c>
      <c r="B494" s="50" t="str">
        <f>VLOOKUP(K494,Lookup!$A$1:$D$34,4,FALSE)</f>
        <v>k_tfr.3.2</v>
      </c>
      <c r="C494" s="9">
        <v>43282</v>
      </c>
      <c r="D494" s="3">
        <v>2018</v>
      </c>
      <c r="E494" s="3">
        <v>7</v>
      </c>
      <c r="F494" s="3" t="s">
        <v>157</v>
      </c>
      <c r="G494" s="3">
        <v>3</v>
      </c>
      <c r="H494">
        <v>2</v>
      </c>
      <c r="I494" s="3">
        <v>3</v>
      </c>
      <c r="J494" s="3" t="s">
        <v>8</v>
      </c>
      <c r="K494" s="3" t="s">
        <v>158</v>
      </c>
      <c r="L494" s="3">
        <v>-330</v>
      </c>
    </row>
    <row r="495" spans="1:12" x14ac:dyDescent="0.25">
      <c r="A495" s="44">
        <f t="shared" si="8"/>
        <v>1</v>
      </c>
      <c r="B495" s="50" t="str">
        <f>VLOOKUP(K495,Lookup!$A$1:$D$34,4,FALSE)</f>
        <v>a_open</v>
      </c>
      <c r="C495" s="9">
        <v>43282</v>
      </c>
      <c r="D495" s="3">
        <v>2018</v>
      </c>
      <c r="E495" s="3">
        <v>7</v>
      </c>
      <c r="F495" s="3" t="s">
        <v>157</v>
      </c>
      <c r="G495" s="3">
        <v>3</v>
      </c>
      <c r="H495">
        <v>2</v>
      </c>
      <c r="I495" s="3">
        <v>3</v>
      </c>
      <c r="J495" s="3" t="s">
        <v>8</v>
      </c>
      <c r="K495" s="3" t="s">
        <v>14</v>
      </c>
      <c r="L495" s="3">
        <v>330</v>
      </c>
    </row>
    <row r="496" spans="1:12" x14ac:dyDescent="0.25">
      <c r="A496" s="44">
        <f t="shared" si="8"/>
        <v>1</v>
      </c>
      <c r="B496" s="50" t="str">
        <f>VLOOKUP(K496,Lookup!$A$1:$D$34,4,FALSE)</f>
        <v>zf_close</v>
      </c>
      <c r="C496" s="9">
        <v>43282</v>
      </c>
      <c r="D496" s="3">
        <v>2018</v>
      </c>
      <c r="E496" s="3">
        <v>7</v>
      </c>
      <c r="F496" s="3" t="s">
        <v>157</v>
      </c>
      <c r="G496" s="3">
        <v>3</v>
      </c>
      <c r="H496">
        <v>2</v>
      </c>
      <c r="I496" s="3">
        <v>2</v>
      </c>
      <c r="J496" s="3" t="s">
        <v>15</v>
      </c>
      <c r="K496" s="3" t="s">
        <v>9</v>
      </c>
      <c r="L496" s="3">
        <v>900</v>
      </c>
    </row>
    <row r="497" spans="1:12" x14ac:dyDescent="0.25">
      <c r="A497" s="44">
        <f t="shared" si="8"/>
        <v>1</v>
      </c>
      <c r="B497" s="50" t="str">
        <f>VLOOKUP(K497,Lookup!$A$1:$D$34,4,FALSE)</f>
        <v>v_drawdown_rvlv</v>
      </c>
      <c r="C497" s="9">
        <v>43282</v>
      </c>
      <c r="D497" s="3">
        <v>2018</v>
      </c>
      <c r="E497" s="3">
        <v>7</v>
      </c>
      <c r="F497" s="3" t="s">
        <v>157</v>
      </c>
      <c r="G497" s="3">
        <v>3</v>
      </c>
      <c r="H497">
        <v>2</v>
      </c>
      <c r="I497" s="3">
        <v>3</v>
      </c>
      <c r="J497" s="3" t="s">
        <v>15</v>
      </c>
      <c r="K497" s="3" t="s">
        <v>24</v>
      </c>
      <c r="L497" s="3">
        <v>-100</v>
      </c>
    </row>
    <row r="498" spans="1:12" x14ac:dyDescent="0.25">
      <c r="A498" s="44">
        <f t="shared" si="8"/>
        <v>1</v>
      </c>
      <c r="B498" s="50" t="str">
        <f>VLOOKUP(K498,Lookup!$A$1:$D$34,4,FALSE)</f>
        <v>v_repay_rvlv</v>
      </c>
      <c r="C498" s="9">
        <v>43282</v>
      </c>
      <c r="D498" s="3">
        <v>2018</v>
      </c>
      <c r="E498" s="3">
        <v>7</v>
      </c>
      <c r="F498" s="3" t="s">
        <v>157</v>
      </c>
      <c r="G498" s="3">
        <v>3</v>
      </c>
      <c r="H498">
        <v>2</v>
      </c>
      <c r="I498" s="3">
        <v>3</v>
      </c>
      <c r="J498" s="3" t="s">
        <v>15</v>
      </c>
      <c r="K498" s="3" t="s">
        <v>10</v>
      </c>
      <c r="L498" s="3">
        <v>-100</v>
      </c>
    </row>
    <row r="499" spans="1:12" x14ac:dyDescent="0.25">
      <c r="A499" s="44">
        <f t="shared" si="8"/>
        <v>1</v>
      </c>
      <c r="B499" s="50" t="str">
        <f>VLOOKUP(K499,Lookup!$A$1:$D$34,4,FALSE)</f>
        <v>k_tfr.3.2</v>
      </c>
      <c r="C499" s="9">
        <v>43282</v>
      </c>
      <c r="D499" s="3">
        <v>2018</v>
      </c>
      <c r="E499" s="3">
        <v>7</v>
      </c>
      <c r="F499" s="3" t="s">
        <v>157</v>
      </c>
      <c r="G499" s="3">
        <v>3</v>
      </c>
      <c r="H499">
        <v>2</v>
      </c>
      <c r="I499" s="3">
        <v>2</v>
      </c>
      <c r="J499" s="3" t="s">
        <v>15</v>
      </c>
      <c r="K499" s="3" t="s">
        <v>158</v>
      </c>
      <c r="L499" s="3">
        <v>900</v>
      </c>
    </row>
    <row r="500" spans="1:12" x14ac:dyDescent="0.25">
      <c r="A500" s="44">
        <f t="shared" si="8"/>
        <v>1</v>
      </c>
      <c r="B500" s="50" t="str">
        <f>VLOOKUP(K500,Lookup!$A$1:$D$34,4,FALSE)</f>
        <v>k_tfr.3.2</v>
      </c>
      <c r="C500" s="9">
        <v>43282</v>
      </c>
      <c r="D500" s="3">
        <v>2018</v>
      </c>
      <c r="E500" s="3">
        <v>7</v>
      </c>
      <c r="F500" s="3" t="s">
        <v>157</v>
      </c>
      <c r="G500" s="3">
        <v>3</v>
      </c>
      <c r="H500">
        <v>2</v>
      </c>
      <c r="I500" s="3">
        <v>3</v>
      </c>
      <c r="J500" s="3" t="s">
        <v>15</v>
      </c>
      <c r="K500" s="3" t="s">
        <v>158</v>
      </c>
      <c r="L500" s="3">
        <v>-900</v>
      </c>
    </row>
    <row r="501" spans="1:12" x14ac:dyDescent="0.25">
      <c r="A501" s="44">
        <f t="shared" si="8"/>
        <v>1</v>
      </c>
      <c r="B501" s="50" t="str">
        <f>VLOOKUP(K501,Lookup!$A$1:$D$34,4,FALSE)</f>
        <v>a_open</v>
      </c>
      <c r="C501" s="9">
        <v>43282</v>
      </c>
      <c r="D501" s="3">
        <v>2018</v>
      </c>
      <c r="E501" s="3">
        <v>7</v>
      </c>
      <c r="F501" s="3" t="s">
        <v>157</v>
      </c>
      <c r="G501" s="3">
        <v>3</v>
      </c>
      <c r="H501">
        <v>2</v>
      </c>
      <c r="I501" s="3">
        <v>3</v>
      </c>
      <c r="J501" s="3" t="s">
        <v>15</v>
      </c>
      <c r="K501" s="3" t="s">
        <v>14</v>
      </c>
      <c r="L501" s="3">
        <v>1100</v>
      </c>
    </row>
    <row r="502" spans="1:12" x14ac:dyDescent="0.25">
      <c r="A502" s="44">
        <f t="shared" si="8"/>
        <v>1</v>
      </c>
      <c r="B502" s="50" t="str">
        <f>VLOOKUP(K502,Lookup!$A$1:$D$34,4,FALSE)</f>
        <v>zf_close</v>
      </c>
      <c r="C502" s="9">
        <v>43313</v>
      </c>
      <c r="D502" s="3">
        <v>2018</v>
      </c>
      <c r="E502" s="3">
        <v>8</v>
      </c>
      <c r="F502" s="3" t="s">
        <v>157</v>
      </c>
      <c r="G502" s="3">
        <v>2</v>
      </c>
      <c r="H502">
        <v>2</v>
      </c>
      <c r="I502" s="3">
        <v>2</v>
      </c>
      <c r="J502" s="3" t="s">
        <v>8</v>
      </c>
      <c r="K502" s="3" t="s">
        <v>9</v>
      </c>
      <c r="L502" s="3">
        <v>160</v>
      </c>
    </row>
    <row r="503" spans="1:12" x14ac:dyDescent="0.25">
      <c r="A503" s="44">
        <f t="shared" si="8"/>
        <v>1</v>
      </c>
      <c r="B503" s="50" t="str">
        <f>VLOOKUP(K503,Lookup!$A$1:$D$34,4,FALSE)</f>
        <v>za_re-measure_no_migr</v>
      </c>
      <c r="C503" s="9">
        <v>43313</v>
      </c>
      <c r="D503" s="3">
        <v>2018</v>
      </c>
      <c r="E503" s="3">
        <v>8</v>
      </c>
      <c r="F503" s="3" t="s">
        <v>157</v>
      </c>
      <c r="G503" s="3">
        <v>2</v>
      </c>
      <c r="H503">
        <v>2</v>
      </c>
      <c r="I503" s="3">
        <v>2</v>
      </c>
      <c r="J503" s="3" t="s">
        <v>8</v>
      </c>
      <c r="K503" s="3" t="s">
        <v>11</v>
      </c>
      <c r="L503" s="3">
        <v>-20</v>
      </c>
    </row>
    <row r="504" spans="1:12" x14ac:dyDescent="0.25">
      <c r="A504" s="44">
        <f t="shared" si="8"/>
        <v>1</v>
      </c>
      <c r="B504" s="50" t="str">
        <f>VLOOKUP(K504,Lookup!$A$1:$D$34,4,FALSE)</f>
        <v>a_open</v>
      </c>
      <c r="C504" s="9">
        <v>43313</v>
      </c>
      <c r="D504" s="3">
        <v>2018</v>
      </c>
      <c r="E504" s="3">
        <v>8</v>
      </c>
      <c r="F504" s="3" t="s">
        <v>157</v>
      </c>
      <c r="G504" s="3">
        <v>2</v>
      </c>
      <c r="H504">
        <v>2</v>
      </c>
      <c r="I504" s="3">
        <v>2</v>
      </c>
      <c r="J504" s="3" t="s">
        <v>8</v>
      </c>
      <c r="K504" s="3" t="s">
        <v>14</v>
      </c>
      <c r="L504" s="3">
        <v>180</v>
      </c>
    </row>
    <row r="505" spans="1:12" x14ac:dyDescent="0.25">
      <c r="A505" s="44">
        <f t="shared" si="8"/>
        <v>1</v>
      </c>
      <c r="B505" s="50" t="str">
        <f>VLOOKUP(K505,Lookup!$A$1:$D$34,4,FALSE)</f>
        <v>zf_close</v>
      </c>
      <c r="C505" s="9">
        <v>43313</v>
      </c>
      <c r="D505" s="3">
        <v>2018</v>
      </c>
      <c r="E505" s="3">
        <v>8</v>
      </c>
      <c r="F505" s="3" t="s">
        <v>157</v>
      </c>
      <c r="G505" s="3">
        <v>2</v>
      </c>
      <c r="H505">
        <v>2</v>
      </c>
      <c r="I505" s="3">
        <v>2</v>
      </c>
      <c r="J505" s="3" t="s">
        <v>15</v>
      </c>
      <c r="K505" s="3" t="s">
        <v>9</v>
      </c>
      <c r="L505" s="3">
        <v>800</v>
      </c>
    </row>
    <row r="506" spans="1:12" x14ac:dyDescent="0.25">
      <c r="A506" s="44">
        <f t="shared" si="8"/>
        <v>1</v>
      </c>
      <c r="B506" s="50" t="str">
        <f>VLOOKUP(K506,Lookup!$A$1:$D$34,4,FALSE)</f>
        <v>v_repay_rvlv</v>
      </c>
      <c r="C506" s="9">
        <v>43313</v>
      </c>
      <c r="D506" s="3">
        <v>2018</v>
      </c>
      <c r="E506" s="3">
        <v>8</v>
      </c>
      <c r="F506" s="3" t="s">
        <v>157</v>
      </c>
      <c r="G506" s="3">
        <v>2</v>
      </c>
      <c r="H506">
        <v>2</v>
      </c>
      <c r="I506" s="3">
        <v>2</v>
      </c>
      <c r="J506" s="3" t="s">
        <v>15</v>
      </c>
      <c r="K506" s="3" t="s">
        <v>10</v>
      </c>
      <c r="L506" s="3">
        <v>-100</v>
      </c>
    </row>
    <row r="507" spans="1:12" x14ac:dyDescent="0.25">
      <c r="A507" s="44">
        <f t="shared" si="8"/>
        <v>1</v>
      </c>
      <c r="B507" s="50" t="str">
        <f>VLOOKUP(K507,Lookup!$A$1:$D$34,4,FALSE)</f>
        <v>a_open</v>
      </c>
      <c r="C507" s="9">
        <v>43313</v>
      </c>
      <c r="D507" s="3">
        <v>2018</v>
      </c>
      <c r="E507" s="3">
        <v>8</v>
      </c>
      <c r="F507" s="3" t="s">
        <v>157</v>
      </c>
      <c r="G507" s="3">
        <v>2</v>
      </c>
      <c r="H507">
        <v>2</v>
      </c>
      <c r="I507" s="3">
        <v>2</v>
      </c>
      <c r="J507" s="3" t="s">
        <v>15</v>
      </c>
      <c r="K507" s="3" t="s">
        <v>14</v>
      </c>
      <c r="L507" s="3">
        <v>900</v>
      </c>
    </row>
    <row r="508" spans="1:12" x14ac:dyDescent="0.25">
      <c r="A508" s="44">
        <f t="shared" si="8"/>
        <v>1</v>
      </c>
      <c r="B508" s="50" t="str">
        <f>VLOOKUP(K508,Lookup!$A$1:$D$34,4,FALSE)</f>
        <v>zf_close</v>
      </c>
      <c r="C508" s="9">
        <v>43344</v>
      </c>
      <c r="D508" s="3">
        <v>2018</v>
      </c>
      <c r="E508" s="3">
        <v>9</v>
      </c>
      <c r="F508" s="3" t="s">
        <v>157</v>
      </c>
      <c r="G508" s="3">
        <v>2</v>
      </c>
      <c r="H508">
        <v>2</v>
      </c>
      <c r="I508" s="3">
        <v>2</v>
      </c>
      <c r="J508" s="3" t="s">
        <v>8</v>
      </c>
      <c r="K508" s="3" t="s">
        <v>9</v>
      </c>
      <c r="L508" s="3">
        <v>240</v>
      </c>
    </row>
    <row r="509" spans="1:12" x14ac:dyDescent="0.25">
      <c r="A509" s="44">
        <f t="shared" si="8"/>
        <v>1</v>
      </c>
      <c r="B509" s="50" t="str">
        <f>VLOOKUP(K509,Lookup!$A$1:$D$34,4,FALSE)</f>
        <v>za_re-measure_no_migr</v>
      </c>
      <c r="C509" s="9">
        <v>43344</v>
      </c>
      <c r="D509" s="3">
        <v>2018</v>
      </c>
      <c r="E509" s="3">
        <v>9</v>
      </c>
      <c r="F509" s="3" t="s">
        <v>157</v>
      </c>
      <c r="G509" s="3">
        <v>2</v>
      </c>
      <c r="H509">
        <v>2</v>
      </c>
      <c r="I509" s="3">
        <v>2</v>
      </c>
      <c r="J509" s="3" t="s">
        <v>8</v>
      </c>
      <c r="K509" s="3" t="s">
        <v>11</v>
      </c>
      <c r="L509" s="3">
        <v>80</v>
      </c>
    </row>
    <row r="510" spans="1:12" x14ac:dyDescent="0.25">
      <c r="A510" s="44">
        <f t="shared" si="8"/>
        <v>1</v>
      </c>
      <c r="B510" s="50" t="str">
        <f>VLOOKUP(K510,Lookup!$A$1:$D$34,4,FALSE)</f>
        <v>a_open</v>
      </c>
      <c r="C510" s="9">
        <v>43344</v>
      </c>
      <c r="D510" s="3">
        <v>2018</v>
      </c>
      <c r="E510" s="3">
        <v>9</v>
      </c>
      <c r="F510" s="3" t="s">
        <v>157</v>
      </c>
      <c r="G510" s="3">
        <v>2</v>
      </c>
      <c r="H510">
        <v>2</v>
      </c>
      <c r="I510" s="3">
        <v>2</v>
      </c>
      <c r="J510" s="3" t="s">
        <v>8</v>
      </c>
      <c r="K510" s="3" t="s">
        <v>14</v>
      </c>
      <c r="L510" s="3">
        <v>160</v>
      </c>
    </row>
    <row r="511" spans="1:12" x14ac:dyDescent="0.25">
      <c r="A511" s="44">
        <f t="shared" si="8"/>
        <v>1</v>
      </c>
      <c r="B511" s="50" t="str">
        <f>VLOOKUP(K511,Lookup!$A$1:$D$34,4,FALSE)</f>
        <v>zf_close</v>
      </c>
      <c r="C511" s="9">
        <v>43344</v>
      </c>
      <c r="D511" s="3">
        <v>2018</v>
      </c>
      <c r="E511" s="3">
        <v>9</v>
      </c>
      <c r="F511" s="3" t="s">
        <v>157</v>
      </c>
      <c r="G511" s="3">
        <v>2</v>
      </c>
      <c r="H511">
        <v>2</v>
      </c>
      <c r="I511" s="3">
        <v>2</v>
      </c>
      <c r="J511" s="3" t="s">
        <v>15</v>
      </c>
      <c r="K511" s="3" t="s">
        <v>9</v>
      </c>
      <c r="L511" s="3">
        <v>1200</v>
      </c>
    </row>
    <row r="512" spans="1:12" x14ac:dyDescent="0.25">
      <c r="A512" s="44">
        <f t="shared" si="8"/>
        <v>1</v>
      </c>
      <c r="B512" s="50" t="str">
        <f>VLOOKUP(K512,Lookup!$A$1:$D$34,4,FALSE)</f>
        <v>v_drawdown_rvlv</v>
      </c>
      <c r="C512" s="9">
        <v>43344</v>
      </c>
      <c r="D512" s="3">
        <v>2018</v>
      </c>
      <c r="E512" s="3">
        <v>9</v>
      </c>
      <c r="F512" s="3" t="s">
        <v>157</v>
      </c>
      <c r="G512" s="3">
        <v>2</v>
      </c>
      <c r="H512">
        <v>2</v>
      </c>
      <c r="I512" s="3">
        <v>2</v>
      </c>
      <c r="J512" s="3" t="s">
        <v>15</v>
      </c>
      <c r="K512" s="3" t="s">
        <v>24</v>
      </c>
      <c r="L512" s="3">
        <v>200</v>
      </c>
    </row>
    <row r="513" spans="1:13" x14ac:dyDescent="0.25">
      <c r="A513" s="44">
        <f t="shared" si="8"/>
        <v>1</v>
      </c>
      <c r="B513" s="50" t="str">
        <f>VLOOKUP(K513,Lookup!$A$1:$D$34,4,FALSE)</f>
        <v>v_repay_rvlv</v>
      </c>
      <c r="C513" s="9">
        <v>43344</v>
      </c>
      <c r="D513" s="3">
        <v>2018</v>
      </c>
      <c r="E513" s="3">
        <v>9</v>
      </c>
      <c r="F513" s="3" t="s">
        <v>157</v>
      </c>
      <c r="G513" s="3">
        <v>2</v>
      </c>
      <c r="H513">
        <v>2</v>
      </c>
      <c r="I513" s="3">
        <v>2</v>
      </c>
      <c r="J513" s="3" t="s">
        <v>15</v>
      </c>
      <c r="K513" s="3" t="s">
        <v>10</v>
      </c>
      <c r="L513" s="3">
        <v>200</v>
      </c>
    </row>
    <row r="514" spans="1:13" x14ac:dyDescent="0.25">
      <c r="A514" s="44">
        <f t="shared" si="8"/>
        <v>1</v>
      </c>
      <c r="B514" s="50" t="str">
        <f>VLOOKUP(K514,Lookup!$A$1:$D$34,4,FALSE)</f>
        <v>a_open</v>
      </c>
      <c r="C514" s="9">
        <v>43344</v>
      </c>
      <c r="D514" s="3">
        <v>2018</v>
      </c>
      <c r="E514" s="3">
        <v>9</v>
      </c>
      <c r="F514" s="3" t="s">
        <v>157</v>
      </c>
      <c r="G514" s="3">
        <v>2</v>
      </c>
      <c r="H514">
        <v>2</v>
      </c>
      <c r="I514" s="3">
        <v>2</v>
      </c>
      <c r="J514" s="3" t="s">
        <v>15</v>
      </c>
      <c r="K514" s="3" t="s">
        <v>14</v>
      </c>
      <c r="L514" s="3">
        <v>800</v>
      </c>
    </row>
    <row r="515" spans="1:13" x14ac:dyDescent="0.25">
      <c r="A515" s="44">
        <f t="shared" si="8"/>
        <v>1</v>
      </c>
      <c r="B515" s="50" t="str">
        <f>VLOOKUP(K515,Lookup!$A$1:$D$34,4,FALSE)</f>
        <v>zf_close</v>
      </c>
      <c r="C515" s="9">
        <v>43374</v>
      </c>
      <c r="D515" s="3">
        <v>2018</v>
      </c>
      <c r="E515" s="3">
        <v>10</v>
      </c>
      <c r="F515" s="3" t="s">
        <v>157</v>
      </c>
      <c r="G515" s="3">
        <v>2</v>
      </c>
      <c r="H515">
        <v>1</v>
      </c>
      <c r="I515" s="3">
        <v>1</v>
      </c>
      <c r="J515" s="3" t="s">
        <v>8</v>
      </c>
      <c r="K515" s="3" t="s">
        <v>9</v>
      </c>
      <c r="L515" s="3">
        <v>80</v>
      </c>
    </row>
    <row r="516" spans="1:13" x14ac:dyDescent="0.25">
      <c r="A516" s="44">
        <f t="shared" si="8"/>
        <v>1</v>
      </c>
      <c r="B516" s="50" t="str">
        <f>VLOOKUP(K516,Lookup!$A$1:$D$34,4,FALSE)</f>
        <v>zb_re-measure_migr</v>
      </c>
      <c r="C516" s="9">
        <v>43374</v>
      </c>
      <c r="D516" s="3">
        <v>2018</v>
      </c>
      <c r="E516" s="3">
        <v>10</v>
      </c>
      <c r="F516" s="3" t="s">
        <v>157</v>
      </c>
      <c r="G516" s="3">
        <v>2</v>
      </c>
      <c r="H516">
        <v>1</v>
      </c>
      <c r="I516" s="3">
        <v>1</v>
      </c>
      <c r="J516" s="3" t="s">
        <v>8</v>
      </c>
      <c r="K516" s="3" t="s">
        <v>12</v>
      </c>
      <c r="L516" s="3">
        <v>-160</v>
      </c>
    </row>
    <row r="517" spans="1:13" x14ac:dyDescent="0.25">
      <c r="A517" s="44">
        <f t="shared" si="8"/>
        <v>1</v>
      </c>
      <c r="B517" s="50" t="str">
        <f>VLOOKUP(K517,Lookup!$A$1:$D$34,4,FALSE)</f>
        <v>f_tfr.2.1</v>
      </c>
      <c r="C517" s="9">
        <v>43374</v>
      </c>
      <c r="D517" s="3">
        <v>2018</v>
      </c>
      <c r="E517" s="3">
        <v>10</v>
      </c>
      <c r="F517" s="3" t="s">
        <v>157</v>
      </c>
      <c r="G517" s="3">
        <v>2</v>
      </c>
      <c r="H517">
        <v>1</v>
      </c>
      <c r="I517" s="3">
        <v>1</v>
      </c>
      <c r="J517" s="3" t="s">
        <v>8</v>
      </c>
      <c r="K517" s="3" t="s">
        <v>164</v>
      </c>
      <c r="L517" s="3">
        <v>240</v>
      </c>
    </row>
    <row r="518" spans="1:13" x14ac:dyDescent="0.25">
      <c r="A518" s="44">
        <f t="shared" si="8"/>
        <v>1</v>
      </c>
      <c r="B518" s="50" t="str">
        <f>VLOOKUP(K518,Lookup!$A$1:$D$34,4,FALSE)</f>
        <v>f_tfr.2.1</v>
      </c>
      <c r="C518" s="9">
        <v>43374</v>
      </c>
      <c r="D518" s="3">
        <v>2018</v>
      </c>
      <c r="E518" s="3">
        <v>10</v>
      </c>
      <c r="F518" s="3" t="s">
        <v>157</v>
      </c>
      <c r="G518" s="3">
        <v>2</v>
      </c>
      <c r="H518">
        <v>1</v>
      </c>
      <c r="I518" s="3">
        <v>2</v>
      </c>
      <c r="J518" s="3" t="s">
        <v>8</v>
      </c>
      <c r="K518" s="3" t="s">
        <v>164</v>
      </c>
      <c r="L518" s="3">
        <v>-240</v>
      </c>
    </row>
    <row r="519" spans="1:13" x14ac:dyDescent="0.25">
      <c r="A519" s="44">
        <f t="shared" si="8"/>
        <v>1</v>
      </c>
      <c r="B519" s="50" t="str">
        <f>VLOOKUP(K519,Lookup!$A$1:$D$34,4,FALSE)</f>
        <v>a_open</v>
      </c>
      <c r="C519" s="9">
        <v>43374</v>
      </c>
      <c r="D519" s="3">
        <v>2018</v>
      </c>
      <c r="E519" s="3">
        <v>10</v>
      </c>
      <c r="F519" s="3" t="s">
        <v>157</v>
      </c>
      <c r="G519" s="3">
        <v>2</v>
      </c>
      <c r="H519">
        <v>1</v>
      </c>
      <c r="I519" s="3">
        <v>2</v>
      </c>
      <c r="J519" s="3" t="s">
        <v>8</v>
      </c>
      <c r="K519" s="3" t="s">
        <v>14</v>
      </c>
      <c r="L519" s="3">
        <v>240</v>
      </c>
    </row>
    <row r="520" spans="1:13" x14ac:dyDescent="0.25">
      <c r="A520" s="44">
        <f t="shared" ref="A520:A537" si="9">IF(OR(AND(C520=$A$1,J520="op"),AND(C520=$A$2,J520="cl"),AND(C520&gt;=$A$1,C520&lt;=$A$2,J520&lt;&gt;"op",J520&lt;&gt;"cl")),1,0)</f>
        <v>1</v>
      </c>
      <c r="B520" s="50" t="str">
        <f>VLOOKUP(K520,Lookup!$A$1:$D$34,4,FALSE)</f>
        <v>zf_close</v>
      </c>
      <c r="C520" s="9">
        <v>43374</v>
      </c>
      <c r="D520" s="3">
        <v>2018</v>
      </c>
      <c r="E520" s="3">
        <v>10</v>
      </c>
      <c r="F520" s="3" t="s">
        <v>157</v>
      </c>
      <c r="G520" s="3">
        <v>2</v>
      </c>
      <c r="H520">
        <v>1</v>
      </c>
      <c r="I520" s="3">
        <v>1</v>
      </c>
      <c r="J520" s="3" t="s">
        <v>15</v>
      </c>
      <c r="K520" s="3" t="s">
        <v>9</v>
      </c>
      <c r="L520" s="3">
        <v>800</v>
      </c>
      <c r="M520" s="3"/>
    </row>
    <row r="521" spans="1:13" x14ac:dyDescent="0.25">
      <c r="A521" s="44">
        <f t="shared" si="9"/>
        <v>1</v>
      </c>
      <c r="B521" s="50" t="str">
        <f>VLOOKUP(K521,Lookup!$A$1:$D$34,4,FALSE)</f>
        <v>v_drawdown_rvlv</v>
      </c>
      <c r="C521" s="9">
        <v>43374</v>
      </c>
      <c r="D521" s="3">
        <v>2018</v>
      </c>
      <c r="E521" s="3">
        <v>10</v>
      </c>
      <c r="F521" s="3" t="s">
        <v>157</v>
      </c>
      <c r="G521" s="3">
        <v>2</v>
      </c>
      <c r="H521">
        <v>1</v>
      </c>
      <c r="I521" s="3">
        <v>2</v>
      </c>
      <c r="J521" s="3" t="s">
        <v>15</v>
      </c>
      <c r="K521" s="3" t="s">
        <v>24</v>
      </c>
      <c r="L521" s="3">
        <v>-200</v>
      </c>
    </row>
    <row r="522" spans="1:13" x14ac:dyDescent="0.25">
      <c r="A522" s="44">
        <f t="shared" si="9"/>
        <v>1</v>
      </c>
      <c r="B522" s="50" t="str">
        <f>VLOOKUP(K522,Lookup!$A$1:$D$34,4,FALSE)</f>
        <v>v_repay_rvlv</v>
      </c>
      <c r="C522" s="9">
        <v>43374</v>
      </c>
      <c r="D522" s="3">
        <v>2018</v>
      </c>
      <c r="E522" s="3">
        <v>10</v>
      </c>
      <c r="F522" s="3" t="s">
        <v>157</v>
      </c>
      <c r="G522" s="3">
        <v>2</v>
      </c>
      <c r="H522">
        <v>1</v>
      </c>
      <c r="I522" s="3">
        <v>2</v>
      </c>
      <c r="J522" s="3" t="s">
        <v>15</v>
      </c>
      <c r="K522" s="3" t="s">
        <v>10</v>
      </c>
      <c r="L522" s="3">
        <v>-200</v>
      </c>
    </row>
    <row r="523" spans="1:13" x14ac:dyDescent="0.25">
      <c r="A523" s="44">
        <f t="shared" si="9"/>
        <v>1</v>
      </c>
      <c r="B523" s="50" t="str">
        <f>VLOOKUP(K523,Lookup!$A$1:$D$34,4,FALSE)</f>
        <v>f_tfr.2.1</v>
      </c>
      <c r="C523" s="9">
        <v>43374</v>
      </c>
      <c r="D523" s="3">
        <v>2018</v>
      </c>
      <c r="E523" s="3">
        <v>10</v>
      </c>
      <c r="F523" s="3" t="s">
        <v>157</v>
      </c>
      <c r="G523" s="3">
        <v>2</v>
      </c>
      <c r="H523">
        <v>1</v>
      </c>
      <c r="I523" s="3">
        <v>1</v>
      </c>
      <c r="J523" s="3" t="s">
        <v>15</v>
      </c>
      <c r="K523" s="3" t="s">
        <v>164</v>
      </c>
      <c r="L523" s="3">
        <v>800</v>
      </c>
    </row>
    <row r="524" spans="1:13" x14ac:dyDescent="0.25">
      <c r="A524" s="44">
        <f t="shared" si="9"/>
        <v>1</v>
      </c>
      <c r="B524" s="50" t="str">
        <f>VLOOKUP(K524,Lookup!$A$1:$D$34,4,FALSE)</f>
        <v>f_tfr.2.1</v>
      </c>
      <c r="C524" s="9">
        <v>43374</v>
      </c>
      <c r="D524" s="3">
        <v>2018</v>
      </c>
      <c r="E524" s="3">
        <v>10</v>
      </c>
      <c r="F524" s="3" t="s">
        <v>157</v>
      </c>
      <c r="G524" s="3">
        <v>2</v>
      </c>
      <c r="H524">
        <v>1</v>
      </c>
      <c r="I524" s="3">
        <v>2</v>
      </c>
      <c r="J524" s="3" t="s">
        <v>15</v>
      </c>
      <c r="K524" s="3" t="s">
        <v>164</v>
      </c>
      <c r="L524" s="3">
        <v>-800</v>
      </c>
      <c r="M524" s="3"/>
    </row>
    <row r="525" spans="1:13" x14ac:dyDescent="0.25">
      <c r="A525" s="44">
        <f t="shared" si="9"/>
        <v>1</v>
      </c>
      <c r="B525" s="50" t="str">
        <f>VLOOKUP(K525,Lookup!$A$1:$D$34,4,FALSE)</f>
        <v>a_open</v>
      </c>
      <c r="C525" s="9">
        <v>43374</v>
      </c>
      <c r="D525" s="3">
        <v>2018</v>
      </c>
      <c r="E525" s="3">
        <v>10</v>
      </c>
      <c r="F525" s="3" t="s">
        <v>157</v>
      </c>
      <c r="G525" s="3">
        <v>2</v>
      </c>
      <c r="H525">
        <v>1</v>
      </c>
      <c r="I525" s="3">
        <v>2</v>
      </c>
      <c r="J525" s="3" t="s">
        <v>15</v>
      </c>
      <c r="K525" s="3" t="s">
        <v>14</v>
      </c>
      <c r="L525" s="3">
        <v>1200</v>
      </c>
    </row>
    <row r="526" spans="1:13" x14ac:dyDescent="0.25">
      <c r="A526" s="44">
        <f t="shared" si="9"/>
        <v>1</v>
      </c>
      <c r="B526" s="50" t="str">
        <f>VLOOKUP(K526,Lookup!$A$1:$D$34,4,FALSE)</f>
        <v>zf_close</v>
      </c>
      <c r="C526" s="9">
        <v>43405</v>
      </c>
      <c r="D526" s="3">
        <v>2018</v>
      </c>
      <c r="E526" s="3">
        <v>11</v>
      </c>
      <c r="F526" s="3" t="s">
        <v>157</v>
      </c>
      <c r="G526" s="3">
        <v>1</v>
      </c>
      <c r="H526">
        <v>1</v>
      </c>
      <c r="I526" s="3">
        <v>1</v>
      </c>
      <c r="J526" s="3" t="s">
        <v>8</v>
      </c>
      <c r="K526" s="3" t="s">
        <v>9</v>
      </c>
      <c r="L526" s="3">
        <v>60</v>
      </c>
    </row>
    <row r="527" spans="1:13" x14ac:dyDescent="0.25">
      <c r="A527" s="44">
        <f t="shared" si="9"/>
        <v>1</v>
      </c>
      <c r="B527" s="50" t="str">
        <f>VLOOKUP(K527,Lookup!$A$1:$D$34,4,FALSE)</f>
        <v>za_re-measure_no_migr</v>
      </c>
      <c r="C527" s="9">
        <v>43405</v>
      </c>
      <c r="D527" s="3">
        <v>2018</v>
      </c>
      <c r="E527" s="3">
        <v>11</v>
      </c>
      <c r="F527" s="3" t="s">
        <v>157</v>
      </c>
      <c r="G527" s="3">
        <v>1</v>
      </c>
      <c r="H527">
        <v>1</v>
      </c>
      <c r="I527" s="3">
        <v>1</v>
      </c>
      <c r="J527" s="3" t="s">
        <v>8</v>
      </c>
      <c r="K527" s="3" t="s">
        <v>11</v>
      </c>
      <c r="L527" s="3">
        <v>-20</v>
      </c>
    </row>
    <row r="528" spans="1:13" x14ac:dyDescent="0.25">
      <c r="A528" s="44">
        <f t="shared" si="9"/>
        <v>1</v>
      </c>
      <c r="B528" s="50" t="str">
        <f>VLOOKUP(K528,Lookup!$A$1:$D$34,4,FALSE)</f>
        <v>a_open</v>
      </c>
      <c r="C528" s="9">
        <v>43405</v>
      </c>
      <c r="D528" s="3">
        <v>2018</v>
      </c>
      <c r="E528" s="3">
        <v>11</v>
      </c>
      <c r="F528" s="3" t="s">
        <v>157</v>
      </c>
      <c r="G528" s="3">
        <v>1</v>
      </c>
      <c r="H528">
        <v>1</v>
      </c>
      <c r="I528" s="3">
        <v>1</v>
      </c>
      <c r="J528" s="3" t="s">
        <v>8</v>
      </c>
      <c r="K528" s="3" t="s">
        <v>14</v>
      </c>
      <c r="L528" s="3">
        <v>80</v>
      </c>
    </row>
    <row r="529" spans="1:12" x14ac:dyDescent="0.25">
      <c r="A529" s="44">
        <f t="shared" si="9"/>
        <v>1</v>
      </c>
      <c r="B529" s="50" t="str">
        <f>VLOOKUP(K529,Lookup!$A$1:$D$34,4,FALSE)</f>
        <v>zf_close</v>
      </c>
      <c r="C529" s="9">
        <v>43405</v>
      </c>
      <c r="D529" s="3">
        <v>2018</v>
      </c>
      <c r="E529" s="3">
        <v>11</v>
      </c>
      <c r="F529" s="3" t="s">
        <v>157</v>
      </c>
      <c r="G529" s="3">
        <v>1</v>
      </c>
      <c r="H529">
        <v>1</v>
      </c>
      <c r="I529" s="3">
        <v>1</v>
      </c>
      <c r="J529" s="3" t="s">
        <v>15</v>
      </c>
      <c r="K529" s="3" t="s">
        <v>9</v>
      </c>
      <c r="L529" s="3">
        <v>600</v>
      </c>
    </row>
    <row r="530" spans="1:12" x14ac:dyDescent="0.25">
      <c r="A530" s="44">
        <f t="shared" si="9"/>
        <v>1</v>
      </c>
      <c r="B530" s="50" t="str">
        <f>VLOOKUP(K530,Lookup!$A$1:$D$34,4,FALSE)</f>
        <v>v_repay_rvlv</v>
      </c>
      <c r="C530" s="9">
        <v>43405</v>
      </c>
      <c r="D530" s="3">
        <v>2018</v>
      </c>
      <c r="E530" s="3">
        <v>11</v>
      </c>
      <c r="F530" s="3" t="s">
        <v>157</v>
      </c>
      <c r="G530" s="3">
        <v>1</v>
      </c>
      <c r="H530">
        <v>1</v>
      </c>
      <c r="I530" s="3">
        <v>1</v>
      </c>
      <c r="J530" s="3" t="s">
        <v>15</v>
      </c>
      <c r="K530" s="3" t="s">
        <v>10</v>
      </c>
      <c r="L530" s="3">
        <v>-200</v>
      </c>
    </row>
    <row r="531" spans="1:12" x14ac:dyDescent="0.25">
      <c r="A531" s="44">
        <f t="shared" si="9"/>
        <v>1</v>
      </c>
      <c r="B531" s="50" t="str">
        <f>VLOOKUP(K531,Lookup!$A$1:$D$34,4,FALSE)</f>
        <v>a_open</v>
      </c>
      <c r="C531" s="9">
        <v>43405</v>
      </c>
      <c r="D531" s="3">
        <v>2018</v>
      </c>
      <c r="E531" s="3">
        <v>11</v>
      </c>
      <c r="F531" s="3" t="s">
        <v>157</v>
      </c>
      <c r="G531" s="3">
        <v>1</v>
      </c>
      <c r="H531">
        <v>1</v>
      </c>
      <c r="I531" s="3">
        <v>1</v>
      </c>
      <c r="J531" s="3" t="s">
        <v>15</v>
      </c>
      <c r="K531" s="3" t="s">
        <v>14</v>
      </c>
      <c r="L531" s="3">
        <v>800</v>
      </c>
    </row>
    <row r="532" spans="1:12" x14ac:dyDescent="0.25">
      <c r="A532" s="44">
        <f t="shared" si="9"/>
        <v>1</v>
      </c>
      <c r="B532" s="50" t="str">
        <f>VLOOKUP(K532,Lookup!$A$1:$D$34,4,FALSE)</f>
        <v>zf_close</v>
      </c>
      <c r="C532" s="9">
        <v>43435</v>
      </c>
      <c r="D532" s="3">
        <v>2018</v>
      </c>
      <c r="E532" s="3">
        <v>12</v>
      </c>
      <c r="F532" s="3" t="s">
        <v>157</v>
      </c>
      <c r="G532" s="3">
        <v>1</v>
      </c>
      <c r="H532">
        <v>1</v>
      </c>
      <c r="I532" s="3">
        <v>1</v>
      </c>
      <c r="J532" s="3" t="s">
        <v>8</v>
      </c>
      <c r="K532" s="3" t="s">
        <v>9</v>
      </c>
      <c r="L532" s="3">
        <v>40</v>
      </c>
    </row>
    <row r="533" spans="1:12" x14ac:dyDescent="0.25">
      <c r="A533" s="44">
        <f t="shared" si="9"/>
        <v>1</v>
      </c>
      <c r="B533" s="50" t="str">
        <f>VLOOKUP(K533,Lookup!$A$1:$D$34,4,FALSE)</f>
        <v>za_re-measure_no_migr</v>
      </c>
      <c r="C533" s="9">
        <v>43435</v>
      </c>
      <c r="D533" s="3">
        <v>2018</v>
      </c>
      <c r="E533" s="3">
        <v>12</v>
      </c>
      <c r="F533" s="3" t="s">
        <v>157</v>
      </c>
      <c r="G533" s="3">
        <v>1</v>
      </c>
      <c r="H533">
        <v>1</v>
      </c>
      <c r="I533" s="3">
        <v>1</v>
      </c>
      <c r="J533" s="3" t="s">
        <v>8</v>
      </c>
      <c r="K533" s="3" t="s">
        <v>11</v>
      </c>
      <c r="L533" s="3">
        <v>-20</v>
      </c>
    </row>
    <row r="534" spans="1:12" x14ac:dyDescent="0.25">
      <c r="A534" s="44">
        <f t="shared" si="9"/>
        <v>1</v>
      </c>
      <c r="B534" s="50" t="str">
        <f>VLOOKUP(K534,Lookup!$A$1:$D$34,4,FALSE)</f>
        <v>a_open</v>
      </c>
      <c r="C534" s="9">
        <v>43435</v>
      </c>
      <c r="D534" s="3">
        <v>2018</v>
      </c>
      <c r="E534" s="3">
        <v>12</v>
      </c>
      <c r="F534" s="3" t="s">
        <v>157</v>
      </c>
      <c r="G534" s="3">
        <v>1</v>
      </c>
      <c r="H534">
        <v>1</v>
      </c>
      <c r="I534" s="3">
        <v>1</v>
      </c>
      <c r="J534" s="3" t="s">
        <v>8</v>
      </c>
      <c r="K534" s="3" t="s">
        <v>14</v>
      </c>
      <c r="L534" s="3">
        <v>60</v>
      </c>
    </row>
    <row r="535" spans="1:12" x14ac:dyDescent="0.25">
      <c r="A535" s="44">
        <f t="shared" si="9"/>
        <v>1</v>
      </c>
      <c r="B535" s="50" t="str">
        <f>VLOOKUP(K535,Lookup!$A$1:$D$34,4,FALSE)</f>
        <v>zf_close</v>
      </c>
      <c r="C535" s="9">
        <v>43435</v>
      </c>
      <c r="D535" s="3">
        <v>2018</v>
      </c>
      <c r="E535" s="3">
        <v>12</v>
      </c>
      <c r="F535" s="3" t="s">
        <v>157</v>
      </c>
      <c r="G535" s="3">
        <v>1</v>
      </c>
      <c r="H535">
        <v>1</v>
      </c>
      <c r="I535" s="3">
        <v>1</v>
      </c>
      <c r="J535" s="3" t="s">
        <v>15</v>
      </c>
      <c r="K535" s="3" t="s">
        <v>9</v>
      </c>
      <c r="L535" s="3">
        <v>400</v>
      </c>
    </row>
    <row r="536" spans="1:12" x14ac:dyDescent="0.25">
      <c r="A536" s="44">
        <f t="shared" si="9"/>
        <v>1</v>
      </c>
      <c r="B536" s="50" t="str">
        <f>VLOOKUP(K536,Lookup!$A$1:$D$34,4,FALSE)</f>
        <v>v_repay_rvlv</v>
      </c>
      <c r="C536" s="9">
        <v>43435</v>
      </c>
      <c r="D536" s="3">
        <v>2018</v>
      </c>
      <c r="E536" s="3">
        <v>12</v>
      </c>
      <c r="F536" s="3" t="s">
        <v>157</v>
      </c>
      <c r="G536" s="3">
        <v>1</v>
      </c>
      <c r="H536">
        <v>1</v>
      </c>
      <c r="I536" s="3">
        <v>1</v>
      </c>
      <c r="J536" s="3" t="s">
        <v>15</v>
      </c>
      <c r="K536" s="3" t="s">
        <v>10</v>
      </c>
      <c r="L536" s="3">
        <v>-200</v>
      </c>
    </row>
    <row r="537" spans="1:12" x14ac:dyDescent="0.25">
      <c r="A537" s="44">
        <f t="shared" si="9"/>
        <v>1</v>
      </c>
      <c r="B537" s="50" t="str">
        <f>VLOOKUP(K537,Lookup!$A$1:$D$34,4,FALSE)</f>
        <v>a_open</v>
      </c>
      <c r="C537" s="9">
        <v>43435</v>
      </c>
      <c r="D537" s="3">
        <v>2018</v>
      </c>
      <c r="E537" s="3">
        <v>12</v>
      </c>
      <c r="F537" s="3" t="s">
        <v>157</v>
      </c>
      <c r="G537" s="3">
        <v>1</v>
      </c>
      <c r="H537">
        <v>1</v>
      </c>
      <c r="I537" s="3">
        <v>1</v>
      </c>
      <c r="J537" s="3" t="s">
        <v>15</v>
      </c>
      <c r="K537" s="3" t="s">
        <v>14</v>
      </c>
      <c r="L537" s="3">
        <v>600</v>
      </c>
    </row>
  </sheetData>
  <autoFilter ref="A4:L537" xr:uid="{E2EF2983-797A-47CD-9427-8F64C7D82049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46"/>
  <sheetViews>
    <sheetView zoomScale="60" zoomScaleNormal="60" workbookViewId="0">
      <pane ySplit="18" topLeftCell="A19" activePane="bottomLeft" state="frozen"/>
      <selection activeCell="E16" sqref="E16"/>
      <selection pane="bottomLeft" activeCell="A17" sqref="A17"/>
    </sheetView>
  </sheetViews>
  <sheetFormatPr defaultRowHeight="15" x14ac:dyDescent="0.25"/>
  <cols>
    <col min="1" max="2" width="23.28515625" customWidth="1"/>
    <col min="3" max="3" width="26.140625" bestFit="1" customWidth="1"/>
    <col min="4" max="14" width="14.140625" customWidth="1"/>
  </cols>
  <sheetData>
    <row r="1" spans="1:14" x14ac:dyDescent="0.25">
      <c r="A1" s="2"/>
      <c r="B1" s="2">
        <v>1</v>
      </c>
      <c r="C1" s="2"/>
      <c r="D1" s="2">
        <f t="shared" ref="D1:N12" si="0">SUMIFS(D$19:D$246,$B$19:$B$246,$B1)-(SUMIFS(D$19:D$246,$B$19:$B$246,$B1,$C$19:$C$246,"zf_close")*2)</f>
        <v>0</v>
      </c>
      <c r="E1" s="2">
        <f t="shared" si="0"/>
        <v>0</v>
      </c>
      <c r="F1" s="2">
        <f t="shared" si="0"/>
        <v>0</v>
      </c>
      <c r="G1" s="2">
        <f t="shared" si="0"/>
        <v>0</v>
      </c>
      <c r="H1" s="2">
        <f t="shared" si="0"/>
        <v>0</v>
      </c>
      <c r="I1" s="2">
        <f t="shared" si="0"/>
        <v>3.4106051316484809E-13</v>
      </c>
      <c r="J1" s="2">
        <f t="shared" si="0"/>
        <v>0</v>
      </c>
      <c r="K1" s="2">
        <f t="shared" si="0"/>
        <v>0</v>
      </c>
      <c r="L1" s="2">
        <f t="shared" si="0"/>
        <v>0</v>
      </c>
      <c r="M1" s="2">
        <f t="shared" si="0"/>
        <v>0</v>
      </c>
      <c r="N1" s="2">
        <f t="shared" si="0"/>
        <v>0</v>
      </c>
    </row>
    <row r="2" spans="1:14" x14ac:dyDescent="0.25">
      <c r="A2" s="2"/>
      <c r="B2" s="2">
        <v>2</v>
      </c>
      <c r="C2" s="2"/>
      <c r="D2" s="2">
        <f t="shared" ref="D2:N12" si="1">SUMIFS(D$19:D$246,$B$19:$B$246,$B2)-(SUMIFS(D$19:D$246,$B$19:$B$246,$B2,$C$19:$C$246,"zf_close")*2)</f>
        <v>0</v>
      </c>
      <c r="E2" s="2">
        <f t="shared" si="0"/>
        <v>0</v>
      </c>
      <c r="F2" s="2">
        <f t="shared" si="0"/>
        <v>0</v>
      </c>
      <c r="G2" s="2">
        <f t="shared" si="0"/>
        <v>0</v>
      </c>
      <c r="H2" s="2">
        <f t="shared" si="0"/>
        <v>0</v>
      </c>
      <c r="I2" s="2">
        <f t="shared" si="0"/>
        <v>0</v>
      </c>
      <c r="J2" s="2">
        <f t="shared" si="0"/>
        <v>-5.6843418860808015E-14</v>
      </c>
      <c r="K2" s="2">
        <f t="shared" si="0"/>
        <v>0</v>
      </c>
      <c r="L2" s="2">
        <f t="shared" si="0"/>
        <v>0</v>
      </c>
      <c r="M2" s="2">
        <f t="shared" si="0"/>
        <v>0</v>
      </c>
      <c r="N2" s="2">
        <f t="shared" si="0"/>
        <v>0</v>
      </c>
    </row>
    <row r="3" spans="1:14" x14ac:dyDescent="0.25">
      <c r="A3" s="2">
        <v>50000000000</v>
      </c>
      <c r="B3" s="2">
        <v>3</v>
      </c>
      <c r="C3" s="2"/>
      <c r="D3" s="2">
        <f t="shared" si="1"/>
        <v>0</v>
      </c>
      <c r="E3" s="2">
        <f t="shared" si="0"/>
        <v>0</v>
      </c>
      <c r="F3" s="2">
        <f t="shared" si="0"/>
        <v>0</v>
      </c>
      <c r="G3" s="2">
        <f t="shared" si="0"/>
        <v>0</v>
      </c>
      <c r="H3" s="2">
        <f t="shared" si="0"/>
        <v>0</v>
      </c>
      <c r="I3" s="2">
        <f t="shared" si="0"/>
        <v>0</v>
      </c>
      <c r="J3" s="2">
        <f t="shared" si="0"/>
        <v>0</v>
      </c>
      <c r="K3" s="2">
        <f t="shared" si="0"/>
        <v>0</v>
      </c>
      <c r="L3" s="2">
        <f t="shared" si="0"/>
        <v>0</v>
      </c>
      <c r="M3" s="2">
        <f t="shared" si="0"/>
        <v>0</v>
      </c>
      <c r="N3" s="2">
        <f t="shared" si="0"/>
        <v>0</v>
      </c>
    </row>
    <row r="4" spans="1:14" x14ac:dyDescent="0.25">
      <c r="A4" s="2">
        <v>125000</v>
      </c>
      <c r="B4" s="2">
        <v>4</v>
      </c>
      <c r="C4" s="2"/>
      <c r="D4" s="2">
        <f t="shared" si="1"/>
        <v>0</v>
      </c>
      <c r="E4" s="2">
        <f t="shared" si="0"/>
        <v>0</v>
      </c>
      <c r="F4" s="2">
        <f t="shared" si="0"/>
        <v>0</v>
      </c>
      <c r="G4" s="2">
        <f t="shared" si="0"/>
        <v>0</v>
      </c>
      <c r="H4" s="2">
        <f t="shared" si="0"/>
        <v>0</v>
      </c>
      <c r="I4" s="2">
        <f t="shared" si="0"/>
        <v>8.8817841970012523E-16</v>
      </c>
      <c r="J4" s="2">
        <f t="shared" si="0"/>
        <v>2.8310687127941492E-15</v>
      </c>
      <c r="K4" s="2">
        <f t="shared" si="0"/>
        <v>0</v>
      </c>
      <c r="L4" s="2">
        <f t="shared" si="0"/>
        <v>0</v>
      </c>
      <c r="M4" s="2">
        <f t="shared" si="0"/>
        <v>0</v>
      </c>
      <c r="N4" s="2">
        <f t="shared" si="0"/>
        <v>0</v>
      </c>
    </row>
    <row r="5" spans="1:14" x14ac:dyDescent="0.25">
      <c r="A5" s="2">
        <f>A3/A4</f>
        <v>400000</v>
      </c>
      <c r="B5" s="2">
        <v>5</v>
      </c>
      <c r="C5" s="2"/>
      <c r="D5" s="2">
        <f t="shared" si="1"/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</row>
    <row r="6" spans="1:14" x14ac:dyDescent="0.25">
      <c r="A6" s="2">
        <v>12</v>
      </c>
      <c r="B6" s="2">
        <v>6</v>
      </c>
      <c r="C6" s="2"/>
      <c r="D6" s="2">
        <f t="shared" si="1"/>
        <v>0</v>
      </c>
      <c r="E6" s="2">
        <f t="shared" si="0"/>
        <v>0</v>
      </c>
      <c r="F6" s="2">
        <f t="shared" si="0"/>
        <v>0</v>
      </c>
      <c r="G6" s="2">
        <f t="shared" si="0"/>
        <v>0</v>
      </c>
      <c r="H6" s="2">
        <f t="shared" si="0"/>
        <v>0</v>
      </c>
      <c r="I6" s="2">
        <f t="shared" si="0"/>
        <v>0</v>
      </c>
      <c r="J6" s="2">
        <f t="shared" si="0"/>
        <v>0</v>
      </c>
      <c r="K6" s="2">
        <f t="shared" si="0"/>
        <v>0</v>
      </c>
      <c r="L6" s="2">
        <f t="shared" si="0"/>
        <v>0</v>
      </c>
      <c r="M6" s="2">
        <f t="shared" si="0"/>
        <v>0</v>
      </c>
      <c r="N6" s="2">
        <f t="shared" si="0"/>
        <v>0</v>
      </c>
    </row>
    <row r="7" spans="1:14" x14ac:dyDescent="0.25">
      <c r="A7" s="2">
        <f>A6*A5</f>
        <v>4800000</v>
      </c>
      <c r="B7" s="2">
        <v>7</v>
      </c>
      <c r="C7" s="2"/>
      <c r="D7" s="2">
        <f t="shared" si="1"/>
        <v>0</v>
      </c>
      <c r="E7" s="2">
        <f t="shared" si="0"/>
        <v>0</v>
      </c>
      <c r="F7" s="2">
        <f t="shared" si="0"/>
        <v>0</v>
      </c>
      <c r="G7" s="2">
        <f t="shared" si="0"/>
        <v>0</v>
      </c>
      <c r="H7" s="2">
        <f t="shared" si="0"/>
        <v>0</v>
      </c>
      <c r="I7" s="2">
        <f t="shared" si="0"/>
        <v>0</v>
      </c>
      <c r="J7" s="2">
        <f t="shared" si="0"/>
        <v>0</v>
      </c>
      <c r="K7" s="2">
        <f t="shared" si="0"/>
        <v>0</v>
      </c>
      <c r="L7" s="2">
        <f t="shared" si="0"/>
        <v>0</v>
      </c>
      <c r="M7" s="2">
        <f t="shared" si="0"/>
        <v>0</v>
      </c>
      <c r="N7" s="2">
        <f t="shared" si="0"/>
        <v>0</v>
      </c>
    </row>
    <row r="8" spans="1:14" x14ac:dyDescent="0.25">
      <c r="A8" s="2"/>
      <c r="B8" s="2">
        <v>8</v>
      </c>
      <c r="C8" s="2"/>
      <c r="D8" s="2">
        <f t="shared" si="1"/>
        <v>0</v>
      </c>
      <c r="E8" s="2">
        <f t="shared" si="0"/>
        <v>0</v>
      </c>
      <c r="F8" s="2">
        <f t="shared" si="0"/>
        <v>0</v>
      </c>
      <c r="G8" s="2">
        <f t="shared" si="0"/>
        <v>0</v>
      </c>
      <c r="H8" s="2">
        <f t="shared" si="0"/>
        <v>0</v>
      </c>
      <c r="I8" s="2">
        <f t="shared" si="0"/>
        <v>0</v>
      </c>
      <c r="J8" s="2">
        <f t="shared" si="0"/>
        <v>0</v>
      </c>
      <c r="K8" s="2">
        <f t="shared" si="0"/>
        <v>0</v>
      </c>
      <c r="L8" s="2">
        <f t="shared" si="0"/>
        <v>0</v>
      </c>
      <c r="M8" s="2">
        <f t="shared" si="0"/>
        <v>0</v>
      </c>
      <c r="N8" s="2">
        <f t="shared" si="0"/>
        <v>0</v>
      </c>
    </row>
    <row r="9" spans="1:14" x14ac:dyDescent="0.25">
      <c r="A9" s="2"/>
      <c r="B9" s="2">
        <v>9</v>
      </c>
      <c r="C9" s="2"/>
      <c r="D9" s="2">
        <f t="shared" si="1"/>
        <v>0</v>
      </c>
      <c r="E9" s="2">
        <f t="shared" si="0"/>
        <v>0</v>
      </c>
      <c r="F9" s="2">
        <f t="shared" si="0"/>
        <v>0</v>
      </c>
      <c r="G9" s="2">
        <f t="shared" si="0"/>
        <v>0</v>
      </c>
      <c r="H9" s="2">
        <f t="shared" si="0"/>
        <v>0</v>
      </c>
      <c r="I9" s="2">
        <f t="shared" si="0"/>
        <v>0</v>
      </c>
      <c r="J9" s="2">
        <f t="shared" si="0"/>
        <v>0</v>
      </c>
      <c r="K9" s="2">
        <f t="shared" si="0"/>
        <v>0</v>
      </c>
      <c r="L9" s="2">
        <f t="shared" si="0"/>
        <v>0</v>
      </c>
      <c r="M9" s="2">
        <f t="shared" si="0"/>
        <v>0</v>
      </c>
      <c r="N9" s="2">
        <f t="shared" si="0"/>
        <v>0</v>
      </c>
    </row>
    <row r="10" spans="1:14" x14ac:dyDescent="0.25">
      <c r="A10" s="2"/>
      <c r="B10" s="2">
        <v>10</v>
      </c>
      <c r="C10" s="2"/>
      <c r="D10" s="2">
        <f t="shared" si="1"/>
        <v>0</v>
      </c>
      <c r="E10" s="2">
        <f t="shared" si="0"/>
        <v>0</v>
      </c>
      <c r="F10" s="2">
        <f t="shared" si="0"/>
        <v>0</v>
      </c>
      <c r="G10" s="2">
        <f t="shared" si="0"/>
        <v>0</v>
      </c>
      <c r="H10" s="2">
        <f t="shared" si="0"/>
        <v>0</v>
      </c>
      <c r="I10" s="2">
        <f t="shared" si="0"/>
        <v>0</v>
      </c>
      <c r="J10" s="2">
        <f t="shared" si="0"/>
        <v>0</v>
      </c>
      <c r="K10" s="2">
        <f t="shared" si="0"/>
        <v>0</v>
      </c>
      <c r="L10" s="2">
        <f t="shared" si="0"/>
        <v>0</v>
      </c>
      <c r="M10" s="2">
        <f t="shared" si="0"/>
        <v>0</v>
      </c>
      <c r="N10" s="2">
        <f t="shared" si="0"/>
        <v>0</v>
      </c>
    </row>
    <row r="11" spans="1:14" x14ac:dyDescent="0.25">
      <c r="B11" s="2">
        <v>11</v>
      </c>
      <c r="C11" s="2"/>
      <c r="D11" s="2">
        <f t="shared" si="1"/>
        <v>0</v>
      </c>
      <c r="E11" s="2">
        <f t="shared" si="0"/>
        <v>0</v>
      </c>
      <c r="F11" s="2">
        <f t="shared" si="0"/>
        <v>0</v>
      </c>
      <c r="G11" s="2">
        <f t="shared" si="0"/>
        <v>0</v>
      </c>
      <c r="H11" s="2">
        <f t="shared" si="0"/>
        <v>0</v>
      </c>
      <c r="I11" s="2">
        <f t="shared" si="0"/>
        <v>0</v>
      </c>
      <c r="J11" s="2">
        <f t="shared" si="0"/>
        <v>0</v>
      </c>
      <c r="K11" s="2">
        <f t="shared" si="0"/>
        <v>0</v>
      </c>
      <c r="L11" s="2">
        <f t="shared" si="0"/>
        <v>0</v>
      </c>
      <c r="M11" s="2">
        <f t="shared" si="0"/>
        <v>0</v>
      </c>
      <c r="N11" s="2">
        <f t="shared" si="0"/>
        <v>0</v>
      </c>
    </row>
    <row r="12" spans="1:14" x14ac:dyDescent="0.25">
      <c r="B12" s="2">
        <v>12</v>
      </c>
      <c r="C12" s="2"/>
      <c r="D12" s="2">
        <f t="shared" si="1"/>
        <v>0</v>
      </c>
      <c r="E12" s="2">
        <f t="shared" si="0"/>
        <v>0</v>
      </c>
      <c r="F12" s="2">
        <f t="shared" si="0"/>
        <v>0</v>
      </c>
      <c r="G12" s="2">
        <f t="shared" si="0"/>
        <v>0</v>
      </c>
      <c r="H12" s="2">
        <f t="shared" si="0"/>
        <v>0</v>
      </c>
      <c r="I12" s="2">
        <f t="shared" si="0"/>
        <v>0</v>
      </c>
      <c r="J12" s="2">
        <f t="shared" si="0"/>
        <v>0</v>
      </c>
      <c r="K12" s="2">
        <f t="shared" si="0"/>
        <v>0</v>
      </c>
      <c r="L12" s="2">
        <f t="shared" si="0"/>
        <v>0</v>
      </c>
      <c r="M12" s="2">
        <f t="shared" si="0"/>
        <v>0</v>
      </c>
      <c r="N12" s="2">
        <f t="shared" si="0"/>
        <v>0</v>
      </c>
    </row>
    <row r="13" spans="1:14" x14ac:dyDescent="0.25">
      <c r="A13" s="1" t="s">
        <v>149</v>
      </c>
      <c r="B13" t="s">
        <v>129</v>
      </c>
    </row>
    <row r="14" spans="1:14" x14ac:dyDescent="0.25">
      <c r="A14" s="1" t="s">
        <v>1</v>
      </c>
      <c r="B14" t="s">
        <v>129</v>
      </c>
    </row>
    <row r="16" spans="1:14" x14ac:dyDescent="0.25">
      <c r="A16" s="1" t="s">
        <v>128</v>
      </c>
      <c r="D16" s="1" t="s">
        <v>4</v>
      </c>
      <c r="E16" s="1" t="s">
        <v>3</v>
      </c>
    </row>
    <row r="17" spans="1:14" x14ac:dyDescent="0.25">
      <c r="D17" t="s">
        <v>15</v>
      </c>
      <c r="E17" t="s">
        <v>15</v>
      </c>
      <c r="F17" t="s">
        <v>15</v>
      </c>
      <c r="G17" t="s">
        <v>15</v>
      </c>
      <c r="H17" t="s">
        <v>43</v>
      </c>
      <c r="I17" t="s">
        <v>8</v>
      </c>
      <c r="J17" t="s">
        <v>8</v>
      </c>
      <c r="K17" t="s">
        <v>8</v>
      </c>
      <c r="L17" t="s">
        <v>8</v>
      </c>
      <c r="M17" t="s">
        <v>44</v>
      </c>
      <c r="N17" t="s">
        <v>42</v>
      </c>
    </row>
    <row r="18" spans="1:14" x14ac:dyDescent="0.25">
      <c r="A18" s="74" t="s">
        <v>45</v>
      </c>
      <c r="B18" s="74" t="s">
        <v>213</v>
      </c>
      <c r="C18" s="1" t="s">
        <v>154</v>
      </c>
      <c r="D18">
        <v>1</v>
      </c>
      <c r="E18">
        <v>2</v>
      </c>
      <c r="F18">
        <v>3</v>
      </c>
      <c r="G18">
        <v>5</v>
      </c>
      <c r="I18">
        <v>1</v>
      </c>
      <c r="J18">
        <v>2</v>
      </c>
      <c r="K18">
        <v>3</v>
      </c>
      <c r="L18">
        <v>5</v>
      </c>
    </row>
    <row r="19" spans="1:14" x14ac:dyDescent="0.25">
      <c r="A19" s="3">
        <v>2018</v>
      </c>
      <c r="B19" s="3">
        <v>1</v>
      </c>
      <c r="C19" t="s">
        <v>155</v>
      </c>
      <c r="D19" s="2">
        <v>3350</v>
      </c>
      <c r="E19" s="2">
        <v>30150</v>
      </c>
      <c r="F19" s="2">
        <v>1725</v>
      </c>
      <c r="G19" s="2">
        <v>1960</v>
      </c>
      <c r="H19" s="2">
        <v>37185</v>
      </c>
      <c r="I19" s="2">
        <v>91</v>
      </c>
      <c r="J19" s="2">
        <v>-6000</v>
      </c>
      <c r="K19" s="2">
        <v>-200</v>
      </c>
      <c r="L19" s="2">
        <v>-450</v>
      </c>
      <c r="M19" s="2">
        <v>-6559</v>
      </c>
      <c r="N19" s="2">
        <v>30626</v>
      </c>
    </row>
    <row r="20" spans="1:14" x14ac:dyDescent="0.25">
      <c r="A20" s="3">
        <v>2018</v>
      </c>
      <c r="B20" s="3">
        <v>1</v>
      </c>
      <c r="C20" t="s">
        <v>195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3">
        <v>2018</v>
      </c>
      <c r="B21" s="3">
        <v>1</v>
      </c>
      <c r="C21" t="s">
        <v>196</v>
      </c>
      <c r="D21" s="2">
        <v>-8750</v>
      </c>
      <c r="E21" s="2"/>
      <c r="F21" s="2">
        <v>8750</v>
      </c>
      <c r="G21" s="2"/>
      <c r="H21" s="2">
        <v>0</v>
      </c>
      <c r="I21" s="2">
        <v>3000</v>
      </c>
      <c r="J21" s="2"/>
      <c r="K21" s="2">
        <v>-3000</v>
      </c>
      <c r="L21" s="2"/>
      <c r="M21" s="2">
        <v>0</v>
      </c>
      <c r="N21" s="2">
        <v>0</v>
      </c>
    </row>
    <row r="22" spans="1:14" x14ac:dyDescent="0.25">
      <c r="A22" s="3">
        <v>2018</v>
      </c>
      <c r="B22" s="3">
        <v>1</v>
      </c>
      <c r="C22" t="s">
        <v>197</v>
      </c>
      <c r="D22" s="2">
        <v>-1450</v>
      </c>
      <c r="E22" s="2"/>
      <c r="F22" s="2"/>
      <c r="G22" s="2">
        <v>1450</v>
      </c>
      <c r="H22" s="2">
        <v>0</v>
      </c>
      <c r="I22" s="2">
        <v>725</v>
      </c>
      <c r="J22" s="2"/>
      <c r="K22" s="2"/>
      <c r="L22" s="2">
        <v>-725</v>
      </c>
      <c r="M22" s="2">
        <v>0</v>
      </c>
      <c r="N22" s="2">
        <v>0</v>
      </c>
    </row>
    <row r="23" spans="1:14" x14ac:dyDescent="0.25">
      <c r="A23" s="3">
        <v>2018</v>
      </c>
      <c r="B23" s="3">
        <v>1</v>
      </c>
      <c r="C23" t="s">
        <v>198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3">
        <v>2018</v>
      </c>
      <c r="B24" s="3">
        <v>1</v>
      </c>
      <c r="C24" t="s">
        <v>199</v>
      </c>
      <c r="D24" s="2"/>
      <c r="E24" s="2">
        <v>-30150</v>
      </c>
      <c r="F24" s="2">
        <v>30150</v>
      </c>
      <c r="G24" s="2"/>
      <c r="H24" s="2">
        <v>0</v>
      </c>
      <c r="I24" s="2"/>
      <c r="J24" s="2">
        <v>6000</v>
      </c>
      <c r="K24" s="2">
        <v>-6000</v>
      </c>
      <c r="L24" s="2"/>
      <c r="M24" s="2">
        <v>0</v>
      </c>
      <c r="N24" s="2">
        <v>0</v>
      </c>
    </row>
    <row r="25" spans="1:14" x14ac:dyDescent="0.25">
      <c r="A25" s="3">
        <v>2018</v>
      </c>
      <c r="B25" s="3">
        <v>1</v>
      </c>
      <c r="C25" t="s">
        <v>200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5">
      <c r="A26" s="3">
        <v>2018</v>
      </c>
      <c r="B26" s="3">
        <v>1</v>
      </c>
      <c r="C26" t="s">
        <v>201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5">
      <c r="A27" s="3">
        <v>2018</v>
      </c>
      <c r="B27" s="3">
        <v>1</v>
      </c>
      <c r="C27" t="s">
        <v>202</v>
      </c>
      <c r="D27" s="2">
        <v>9620</v>
      </c>
      <c r="E27" s="2"/>
      <c r="F27" s="2">
        <v>25</v>
      </c>
      <c r="G27" s="2"/>
      <c r="H27" s="2">
        <v>9645</v>
      </c>
      <c r="I27" s="2">
        <v>-3229.3999999999996</v>
      </c>
      <c r="J27" s="2"/>
      <c r="K27" s="2">
        <v>-25</v>
      </c>
      <c r="L27" s="2"/>
      <c r="M27" s="2">
        <v>-3254.3999999999996</v>
      </c>
      <c r="N27" s="2">
        <v>6390.6</v>
      </c>
    </row>
    <row r="28" spans="1:14" x14ac:dyDescent="0.25">
      <c r="A28" s="3">
        <v>2018</v>
      </c>
      <c r="B28" s="3">
        <v>1</v>
      </c>
      <c r="C28" t="s">
        <v>203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5">
      <c r="A29" s="3">
        <v>2018</v>
      </c>
      <c r="B29" s="3">
        <v>1</v>
      </c>
      <c r="C29" t="s">
        <v>204</v>
      </c>
      <c r="D29" s="2">
        <v>1950.01</v>
      </c>
      <c r="E29" s="2"/>
      <c r="F29" s="2"/>
      <c r="G29" s="2"/>
      <c r="H29" s="2">
        <v>1950.01</v>
      </c>
      <c r="I29" s="2">
        <v>-509.5</v>
      </c>
      <c r="J29" s="2"/>
      <c r="K29" s="2"/>
      <c r="L29" s="2"/>
      <c r="M29" s="2">
        <v>-509.5</v>
      </c>
      <c r="N29" s="2">
        <v>1440.51</v>
      </c>
    </row>
    <row r="30" spans="1:14" x14ac:dyDescent="0.25">
      <c r="A30" s="3">
        <v>2018</v>
      </c>
      <c r="B30" s="3">
        <v>1</v>
      </c>
      <c r="C30" t="s">
        <v>205</v>
      </c>
      <c r="D30" s="2">
        <v>-509.99</v>
      </c>
      <c r="E30" s="2"/>
      <c r="F30" s="2"/>
      <c r="G30" s="2"/>
      <c r="H30" s="2">
        <v>-509.99</v>
      </c>
      <c r="I30" s="2">
        <v>0.1</v>
      </c>
      <c r="J30" s="2"/>
      <c r="K30" s="2"/>
      <c r="L30" s="2"/>
      <c r="M30" s="2">
        <v>0.1</v>
      </c>
      <c r="N30" s="2">
        <v>-509.89</v>
      </c>
    </row>
    <row r="31" spans="1:14" x14ac:dyDescent="0.25">
      <c r="A31" s="3">
        <v>2018</v>
      </c>
      <c r="B31" s="3">
        <v>1</v>
      </c>
      <c r="C31" t="s">
        <v>206</v>
      </c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5">
      <c r="A32" s="3">
        <v>2018</v>
      </c>
      <c r="B32" s="3">
        <v>1</v>
      </c>
      <c r="C32" t="s">
        <v>207</v>
      </c>
      <c r="D32" s="2"/>
      <c r="E32" s="2"/>
      <c r="F32" s="2"/>
      <c r="G32" s="2"/>
      <c r="H32" s="2"/>
      <c r="I32" s="2">
        <v>14.8</v>
      </c>
      <c r="J32" s="2"/>
      <c r="K32" s="2">
        <v>-364.98</v>
      </c>
      <c r="L32" s="2"/>
      <c r="M32" s="2">
        <v>-350.18</v>
      </c>
      <c r="N32" s="2">
        <v>-350.18</v>
      </c>
    </row>
    <row r="33" spans="1:14" x14ac:dyDescent="0.25">
      <c r="A33" s="3">
        <v>2018</v>
      </c>
      <c r="B33" s="3">
        <v>1</v>
      </c>
      <c r="C33" t="s">
        <v>208</v>
      </c>
      <c r="D33" s="2"/>
      <c r="E33" s="2"/>
      <c r="F33" s="2"/>
      <c r="G33" s="2"/>
      <c r="H33" s="2"/>
      <c r="I33" s="2"/>
      <c r="J33" s="2"/>
      <c r="K33" s="2">
        <v>-4799.9799999999996</v>
      </c>
      <c r="L33" s="2"/>
      <c r="M33" s="2">
        <v>-4799.9799999999996</v>
      </c>
      <c r="N33" s="2">
        <v>-4799.9799999999996</v>
      </c>
    </row>
    <row r="34" spans="1:14" x14ac:dyDescent="0.25">
      <c r="A34" s="3">
        <v>2018</v>
      </c>
      <c r="B34" s="3">
        <v>1</v>
      </c>
      <c r="C34" t="s">
        <v>209</v>
      </c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5">
      <c r="A35" s="3">
        <v>2018</v>
      </c>
      <c r="B35" s="3">
        <v>1</v>
      </c>
      <c r="C35" t="s">
        <v>210</v>
      </c>
      <c r="D35" s="2">
        <v>55</v>
      </c>
      <c r="E35" s="2"/>
      <c r="F35" s="2">
        <v>-30</v>
      </c>
      <c r="G35" s="2">
        <v>560</v>
      </c>
      <c r="H35" s="2">
        <v>585</v>
      </c>
      <c r="I35" s="2"/>
      <c r="J35" s="2"/>
      <c r="K35" s="2"/>
      <c r="L35" s="2"/>
      <c r="M35" s="2"/>
      <c r="N35" s="2">
        <v>585</v>
      </c>
    </row>
    <row r="36" spans="1:14" x14ac:dyDescent="0.25">
      <c r="A36" s="3">
        <v>2018</v>
      </c>
      <c r="B36" s="3">
        <v>1</v>
      </c>
      <c r="C36" t="s">
        <v>211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5">
      <c r="A37" s="3">
        <v>2018</v>
      </c>
      <c r="B37" s="3">
        <v>1</v>
      </c>
      <c r="C37" t="s">
        <v>212</v>
      </c>
      <c r="D37" s="2">
        <v>4265.0200000000004</v>
      </c>
      <c r="E37" s="2"/>
      <c r="F37" s="2">
        <v>40620</v>
      </c>
      <c r="G37" s="2">
        <v>3970</v>
      </c>
      <c r="H37" s="2">
        <v>48855.020000000004</v>
      </c>
      <c r="I37" s="2">
        <v>92</v>
      </c>
      <c r="J37" s="2"/>
      <c r="K37" s="2">
        <v>-14389.96</v>
      </c>
      <c r="L37" s="2">
        <v>-1175</v>
      </c>
      <c r="M37" s="2">
        <v>-15472.96</v>
      </c>
      <c r="N37" s="2">
        <v>33382.060000000005</v>
      </c>
    </row>
    <row r="38" spans="1:14" x14ac:dyDescent="0.25">
      <c r="A38" s="3">
        <v>2018</v>
      </c>
      <c r="B38" s="3">
        <v>2</v>
      </c>
      <c r="C38" t="s">
        <v>155</v>
      </c>
      <c r="D38" s="2">
        <v>4265.0200000000004</v>
      </c>
      <c r="E38" s="2"/>
      <c r="F38" s="2">
        <v>40620</v>
      </c>
      <c r="G38" s="2">
        <v>3970</v>
      </c>
      <c r="H38" s="2">
        <v>48855.020000000004</v>
      </c>
      <c r="I38" s="2">
        <v>92</v>
      </c>
      <c r="J38" s="2"/>
      <c r="K38" s="2">
        <v>-14389.96</v>
      </c>
      <c r="L38" s="2">
        <v>-1175</v>
      </c>
      <c r="M38" s="2">
        <v>-15472.96</v>
      </c>
      <c r="N38" s="2">
        <v>33382.060000000005</v>
      </c>
    </row>
    <row r="39" spans="1:14" x14ac:dyDescent="0.25">
      <c r="A39" s="3">
        <v>2018</v>
      </c>
      <c r="B39" s="3">
        <v>2</v>
      </c>
      <c r="C39" t="s">
        <v>195</v>
      </c>
      <c r="D39" s="2">
        <v>-1500</v>
      </c>
      <c r="E39" s="2">
        <v>1500</v>
      </c>
      <c r="F39" s="2"/>
      <c r="G39" s="2"/>
      <c r="H39" s="2">
        <v>0</v>
      </c>
      <c r="I39" s="2">
        <v>-116</v>
      </c>
      <c r="J39" s="2">
        <v>116</v>
      </c>
      <c r="K39" s="2"/>
      <c r="L39" s="2"/>
      <c r="M39" s="2">
        <v>0</v>
      </c>
      <c r="N39" s="2">
        <v>0</v>
      </c>
    </row>
    <row r="40" spans="1:14" x14ac:dyDescent="0.25">
      <c r="A40" s="3">
        <v>2018</v>
      </c>
      <c r="B40" s="3">
        <v>2</v>
      </c>
      <c r="C40" t="s">
        <v>196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14" x14ac:dyDescent="0.25">
      <c r="A41" s="3">
        <v>2018</v>
      </c>
      <c r="B41" s="3">
        <v>2</v>
      </c>
      <c r="C41" t="s">
        <v>197</v>
      </c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14" x14ac:dyDescent="0.25">
      <c r="A42" s="3">
        <v>2018</v>
      </c>
      <c r="B42" s="3">
        <v>2</v>
      </c>
      <c r="C42" t="s">
        <v>198</v>
      </c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1:14" x14ac:dyDescent="0.25">
      <c r="A43" s="3">
        <v>2018</v>
      </c>
      <c r="B43" s="3">
        <v>2</v>
      </c>
      <c r="C43" t="s">
        <v>199</v>
      </c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4" x14ac:dyDescent="0.25">
      <c r="A44" s="3">
        <v>2018</v>
      </c>
      <c r="B44" s="3">
        <v>2</v>
      </c>
      <c r="C44" t="s">
        <v>200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4" x14ac:dyDescent="0.25">
      <c r="A45" s="3">
        <v>2018</v>
      </c>
      <c r="B45" s="3">
        <v>2</v>
      </c>
      <c r="C45" t="s">
        <v>201</v>
      </c>
      <c r="D45" s="2"/>
      <c r="E45" s="2">
        <v>2520</v>
      </c>
      <c r="F45" s="2"/>
      <c r="G45" s="2">
        <v>-2520</v>
      </c>
      <c r="H45" s="2">
        <v>0</v>
      </c>
      <c r="I45" s="2"/>
      <c r="J45" s="2">
        <v>-730</v>
      </c>
      <c r="K45" s="2"/>
      <c r="L45" s="2">
        <v>730</v>
      </c>
      <c r="M45" s="2">
        <v>0</v>
      </c>
      <c r="N45" s="2">
        <v>0</v>
      </c>
    </row>
    <row r="46" spans="1:14" x14ac:dyDescent="0.25">
      <c r="A46" s="3">
        <v>2018</v>
      </c>
      <c r="B46" s="3">
        <v>2</v>
      </c>
      <c r="C46" t="s">
        <v>202</v>
      </c>
      <c r="D46" s="2">
        <v>100</v>
      </c>
      <c r="E46" s="2">
        <v>-120</v>
      </c>
      <c r="F46" s="2">
        <v>-3775</v>
      </c>
      <c r="G46" s="2"/>
      <c r="H46" s="2">
        <v>-3795</v>
      </c>
      <c r="I46" s="2"/>
      <c r="J46" s="2">
        <v>-45.6</v>
      </c>
      <c r="K46" s="2">
        <v>1425</v>
      </c>
      <c r="L46" s="2"/>
      <c r="M46" s="2">
        <v>1379.4</v>
      </c>
      <c r="N46" s="2">
        <v>-2415.6</v>
      </c>
    </row>
    <row r="47" spans="1:14" x14ac:dyDescent="0.25">
      <c r="A47" s="3">
        <v>2018</v>
      </c>
      <c r="B47" s="3">
        <v>2</v>
      </c>
      <c r="C47" t="s">
        <v>203</v>
      </c>
      <c r="D47" s="2"/>
      <c r="E47" s="2">
        <v>-3000</v>
      </c>
      <c r="F47" s="2">
        <v>-3775</v>
      </c>
      <c r="G47" s="2">
        <v>-500</v>
      </c>
      <c r="H47" s="2">
        <v>-7275</v>
      </c>
      <c r="I47" s="2"/>
      <c r="J47" s="2">
        <v>60</v>
      </c>
      <c r="K47" s="2">
        <v>1425</v>
      </c>
      <c r="L47" s="2">
        <v>110</v>
      </c>
      <c r="M47" s="2">
        <v>1595</v>
      </c>
      <c r="N47" s="2">
        <v>-5680</v>
      </c>
    </row>
    <row r="48" spans="1:14" x14ac:dyDescent="0.25">
      <c r="A48" s="3">
        <v>2018</v>
      </c>
      <c r="B48" s="3">
        <v>2</v>
      </c>
      <c r="C48" t="s">
        <v>204</v>
      </c>
      <c r="D48" s="2">
        <v>954.99</v>
      </c>
      <c r="E48" s="2"/>
      <c r="F48" s="2"/>
      <c r="G48" s="2"/>
      <c r="H48" s="2">
        <v>954.99</v>
      </c>
      <c r="I48" s="2">
        <v>-9.5</v>
      </c>
      <c r="J48" s="2"/>
      <c r="K48" s="2"/>
      <c r="L48" s="2"/>
      <c r="M48" s="2">
        <v>-9.5</v>
      </c>
      <c r="N48" s="2">
        <v>945.49</v>
      </c>
    </row>
    <row r="49" spans="1:14" x14ac:dyDescent="0.25">
      <c r="A49" s="3">
        <v>2018</v>
      </c>
      <c r="B49" s="3">
        <v>2</v>
      </c>
      <c r="C49" t="s">
        <v>205</v>
      </c>
      <c r="D49" s="2">
        <v>-10</v>
      </c>
      <c r="E49" s="2"/>
      <c r="F49" s="2">
        <v>-3500</v>
      </c>
      <c r="G49" s="2">
        <v>-950</v>
      </c>
      <c r="H49" s="2">
        <v>-4460</v>
      </c>
      <c r="I49" s="2">
        <v>0.1</v>
      </c>
      <c r="J49" s="2"/>
      <c r="K49" s="2">
        <v>840</v>
      </c>
      <c r="L49" s="2">
        <v>335</v>
      </c>
      <c r="M49" s="2">
        <v>1175.0999999999999</v>
      </c>
      <c r="N49" s="2">
        <v>-3284.8999999999996</v>
      </c>
    </row>
    <row r="50" spans="1:14" x14ac:dyDescent="0.25">
      <c r="A50" s="3">
        <v>2018</v>
      </c>
      <c r="B50" s="3">
        <v>2</v>
      </c>
      <c r="C50" t="s">
        <v>206</v>
      </c>
      <c r="D50" s="2">
        <v>-1950</v>
      </c>
      <c r="E50" s="2"/>
      <c r="F50" s="2">
        <v>-9000</v>
      </c>
      <c r="G50" s="2"/>
      <c r="H50" s="2">
        <v>-10950</v>
      </c>
      <c r="I50" s="2">
        <v>19.5</v>
      </c>
      <c r="J50" s="2"/>
      <c r="K50" s="2">
        <v>3600</v>
      </c>
      <c r="L50" s="2"/>
      <c r="M50" s="2">
        <v>3619.5</v>
      </c>
      <c r="N50" s="2">
        <v>-7330.5</v>
      </c>
    </row>
    <row r="51" spans="1:14" x14ac:dyDescent="0.25">
      <c r="A51" s="3">
        <v>2018</v>
      </c>
      <c r="B51" s="3">
        <v>2</v>
      </c>
      <c r="C51" t="s">
        <v>207</v>
      </c>
      <c r="D51" s="2"/>
      <c r="E51" s="2"/>
      <c r="F51" s="2"/>
      <c r="G51" s="2"/>
      <c r="H51" s="2"/>
      <c r="I51" s="2">
        <v>-1.1000000000000001</v>
      </c>
      <c r="J51" s="2"/>
      <c r="K51" s="2">
        <v>-9960</v>
      </c>
      <c r="L51" s="2"/>
      <c r="M51" s="2">
        <v>-9961.1</v>
      </c>
      <c r="N51" s="2">
        <v>-9961.1</v>
      </c>
    </row>
    <row r="52" spans="1:14" x14ac:dyDescent="0.25">
      <c r="A52" s="3">
        <v>2018</v>
      </c>
      <c r="B52" s="3">
        <v>2</v>
      </c>
      <c r="C52" t="s">
        <v>208</v>
      </c>
      <c r="D52" s="2"/>
      <c r="E52" s="2"/>
      <c r="F52" s="2"/>
      <c r="G52" s="2"/>
      <c r="H52" s="2"/>
      <c r="I52" s="2"/>
      <c r="J52" s="2">
        <v>584.64</v>
      </c>
      <c r="K52" s="2"/>
      <c r="L52" s="2"/>
      <c r="M52" s="2">
        <v>584.64</v>
      </c>
      <c r="N52" s="2">
        <v>584.64</v>
      </c>
    </row>
    <row r="53" spans="1:14" x14ac:dyDescent="0.25">
      <c r="A53" s="3">
        <v>2018</v>
      </c>
      <c r="B53" s="3">
        <v>2</v>
      </c>
      <c r="C53" t="s">
        <v>209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 x14ac:dyDescent="0.25">
      <c r="A54" s="3">
        <v>2018</v>
      </c>
      <c r="B54" s="3">
        <v>2</v>
      </c>
      <c r="C54" t="s">
        <v>210</v>
      </c>
      <c r="D54" s="2">
        <v>-75</v>
      </c>
      <c r="E54" s="2">
        <v>-620</v>
      </c>
      <c r="F54" s="2">
        <v>-30</v>
      </c>
      <c r="G54" s="2"/>
      <c r="H54" s="2">
        <v>-725</v>
      </c>
      <c r="I54" s="2"/>
      <c r="J54" s="2"/>
      <c r="K54" s="2"/>
      <c r="L54" s="2"/>
      <c r="M54" s="2"/>
      <c r="N54" s="2">
        <v>-725</v>
      </c>
    </row>
    <row r="55" spans="1:14" x14ac:dyDescent="0.25">
      <c r="A55" s="3">
        <v>2018</v>
      </c>
      <c r="B55" s="3">
        <v>2</v>
      </c>
      <c r="C55" t="s">
        <v>211</v>
      </c>
      <c r="D55" s="2"/>
      <c r="E55" s="2"/>
      <c r="F55" s="2">
        <v>-16000</v>
      </c>
      <c r="G55" s="2"/>
      <c r="H55" s="2">
        <v>-16000</v>
      </c>
      <c r="I55" s="2"/>
      <c r="J55" s="2"/>
      <c r="K55" s="2">
        <v>16000</v>
      </c>
      <c r="L55" s="2"/>
      <c r="M55" s="2">
        <v>16000</v>
      </c>
      <c r="N55" s="2">
        <v>0</v>
      </c>
    </row>
    <row r="56" spans="1:14" x14ac:dyDescent="0.25">
      <c r="A56" s="3">
        <v>2018</v>
      </c>
      <c r="B56" s="3">
        <v>2</v>
      </c>
      <c r="C56" t="s">
        <v>212</v>
      </c>
      <c r="D56" s="2">
        <v>1785.01</v>
      </c>
      <c r="E56" s="2">
        <v>280</v>
      </c>
      <c r="F56" s="2">
        <v>4540</v>
      </c>
      <c r="G56" s="2"/>
      <c r="H56" s="2">
        <v>6605.01</v>
      </c>
      <c r="I56" s="2">
        <v>-15</v>
      </c>
      <c r="J56" s="2">
        <v>-14.95999999999998</v>
      </c>
      <c r="K56" s="2">
        <v>-1059.96</v>
      </c>
      <c r="L56" s="2"/>
      <c r="M56" s="2">
        <v>-1089.92</v>
      </c>
      <c r="N56" s="2">
        <v>5515.09</v>
      </c>
    </row>
    <row r="57" spans="1:14" x14ac:dyDescent="0.25">
      <c r="A57" s="3">
        <v>2018</v>
      </c>
      <c r="B57" s="3">
        <v>3</v>
      </c>
      <c r="C57" t="s">
        <v>155</v>
      </c>
      <c r="D57" s="2">
        <v>1785.01</v>
      </c>
      <c r="E57" s="2">
        <v>280</v>
      </c>
      <c r="F57" s="2">
        <v>4540</v>
      </c>
      <c r="G57" s="2"/>
      <c r="H57" s="2">
        <v>6605.01</v>
      </c>
      <c r="I57" s="2">
        <v>-15</v>
      </c>
      <c r="J57" s="2">
        <v>-14.95999999999998</v>
      </c>
      <c r="K57" s="2">
        <v>-1059.96</v>
      </c>
      <c r="L57" s="2"/>
      <c r="M57" s="2">
        <v>-1089.92</v>
      </c>
      <c r="N57" s="2">
        <v>5515.09</v>
      </c>
    </row>
    <row r="58" spans="1:14" x14ac:dyDescent="0.25">
      <c r="A58" s="3">
        <v>2018</v>
      </c>
      <c r="B58" s="3">
        <v>3</v>
      </c>
      <c r="C58" t="s">
        <v>195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 x14ac:dyDescent="0.25">
      <c r="A59" s="3">
        <v>2018</v>
      </c>
      <c r="B59" s="3">
        <v>3</v>
      </c>
      <c r="C59" t="s">
        <v>196</v>
      </c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 x14ac:dyDescent="0.25">
      <c r="A60" s="3">
        <v>2018</v>
      </c>
      <c r="B60" s="3">
        <v>3</v>
      </c>
      <c r="C60" t="s">
        <v>197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 x14ac:dyDescent="0.25">
      <c r="A61" s="3">
        <v>2018</v>
      </c>
      <c r="B61" s="3">
        <v>3</v>
      </c>
      <c r="C61" t="s">
        <v>198</v>
      </c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 x14ac:dyDescent="0.25">
      <c r="A62" s="3">
        <v>2018</v>
      </c>
      <c r="B62" s="3">
        <v>3</v>
      </c>
      <c r="C62" t="s">
        <v>199</v>
      </c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 x14ac:dyDescent="0.25">
      <c r="A63" s="3">
        <v>2018</v>
      </c>
      <c r="B63" s="3">
        <v>3</v>
      </c>
      <c r="C63" t="s">
        <v>200</v>
      </c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 x14ac:dyDescent="0.25">
      <c r="A64" s="3">
        <v>2018</v>
      </c>
      <c r="B64" s="3">
        <v>3</v>
      </c>
      <c r="C64" t="s">
        <v>201</v>
      </c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 x14ac:dyDescent="0.25">
      <c r="A65" s="3">
        <v>2018</v>
      </c>
      <c r="B65" s="3">
        <v>3</v>
      </c>
      <c r="C65" t="s">
        <v>202</v>
      </c>
      <c r="D65" s="2"/>
      <c r="E65" s="2">
        <v>-640</v>
      </c>
      <c r="F65" s="2">
        <v>-1000</v>
      </c>
      <c r="G65" s="2"/>
      <c r="H65" s="2">
        <v>-1640</v>
      </c>
      <c r="I65" s="2"/>
      <c r="J65" s="2">
        <v>55</v>
      </c>
      <c r="K65" s="2"/>
      <c r="L65" s="2"/>
      <c r="M65" s="2">
        <v>55</v>
      </c>
      <c r="N65" s="2">
        <v>-1585</v>
      </c>
    </row>
    <row r="66" spans="1:14" x14ac:dyDescent="0.25">
      <c r="A66" s="3">
        <v>2018</v>
      </c>
      <c r="B66" s="3">
        <v>3</v>
      </c>
      <c r="C66" t="s">
        <v>203</v>
      </c>
      <c r="D66" s="2"/>
      <c r="E66" s="2">
        <v>3000</v>
      </c>
      <c r="F66" s="2">
        <v>-990</v>
      </c>
      <c r="G66" s="2"/>
      <c r="H66" s="2">
        <v>2010</v>
      </c>
      <c r="I66" s="2"/>
      <c r="J66" s="2"/>
      <c r="K66" s="2">
        <v>-10</v>
      </c>
      <c r="L66" s="2"/>
      <c r="M66" s="2">
        <v>-10</v>
      </c>
      <c r="N66" s="2">
        <v>2000</v>
      </c>
    </row>
    <row r="67" spans="1:14" x14ac:dyDescent="0.25">
      <c r="A67" s="3">
        <v>2018</v>
      </c>
      <c r="B67" s="3">
        <v>3</v>
      </c>
      <c r="C67" t="s">
        <v>204</v>
      </c>
      <c r="D67" s="2">
        <v>4.99</v>
      </c>
      <c r="E67" s="2"/>
      <c r="F67" s="2"/>
      <c r="G67" s="2"/>
      <c r="H67" s="2">
        <v>4.99</v>
      </c>
      <c r="I67" s="2"/>
      <c r="J67" s="2"/>
      <c r="K67" s="2"/>
      <c r="L67" s="2"/>
      <c r="M67" s="2"/>
      <c r="N67" s="2">
        <v>4.99</v>
      </c>
    </row>
    <row r="68" spans="1:14" x14ac:dyDescent="0.25">
      <c r="A68" s="3">
        <v>2018</v>
      </c>
      <c r="B68" s="3">
        <v>3</v>
      </c>
      <c r="C68" t="s">
        <v>205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 x14ac:dyDescent="0.25">
      <c r="A69" s="3">
        <v>2018</v>
      </c>
      <c r="B69" s="3">
        <v>3</v>
      </c>
      <c r="C69" t="s">
        <v>206</v>
      </c>
      <c r="D69" s="2">
        <v>-955</v>
      </c>
      <c r="E69" s="2">
        <v>-550</v>
      </c>
      <c r="F69" s="2">
        <v>-2000</v>
      </c>
      <c r="G69" s="2"/>
      <c r="H69" s="2">
        <v>-3505</v>
      </c>
      <c r="I69" s="2">
        <v>9.5</v>
      </c>
      <c r="J69" s="2">
        <v>110</v>
      </c>
      <c r="K69" s="2">
        <v>480</v>
      </c>
      <c r="L69" s="2"/>
      <c r="M69" s="2">
        <v>599.5</v>
      </c>
      <c r="N69" s="2">
        <v>-2905.5</v>
      </c>
    </row>
    <row r="70" spans="1:14" x14ac:dyDescent="0.25">
      <c r="A70" s="3">
        <v>2018</v>
      </c>
      <c r="B70" s="3">
        <v>3</v>
      </c>
      <c r="C70" t="s">
        <v>207</v>
      </c>
      <c r="D70" s="2"/>
      <c r="E70" s="2"/>
      <c r="F70" s="2"/>
      <c r="G70" s="2"/>
      <c r="H70" s="2"/>
      <c r="I70" s="2">
        <v>0.5</v>
      </c>
      <c r="J70" s="2">
        <v>-113.03999999999999</v>
      </c>
      <c r="K70" s="2">
        <v>239.95999999999998</v>
      </c>
      <c r="L70" s="2"/>
      <c r="M70" s="2">
        <v>127.41999999999999</v>
      </c>
      <c r="N70" s="2">
        <v>127.41999999999999</v>
      </c>
    </row>
    <row r="71" spans="1:14" x14ac:dyDescent="0.25">
      <c r="A71" s="3">
        <v>2018</v>
      </c>
      <c r="B71" s="3">
        <v>3</v>
      </c>
      <c r="C71" t="s">
        <v>208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 x14ac:dyDescent="0.25">
      <c r="A72" s="3">
        <v>2018</v>
      </c>
      <c r="B72" s="3">
        <v>3</v>
      </c>
      <c r="C72" t="s">
        <v>209</v>
      </c>
      <c r="D72" s="2"/>
      <c r="E72" s="2"/>
      <c r="F72" s="2"/>
      <c r="G72" s="2"/>
      <c r="H72" s="2"/>
      <c r="I72" s="2">
        <v>-2</v>
      </c>
      <c r="J72" s="2">
        <v>71</v>
      </c>
      <c r="K72" s="2">
        <v>-230</v>
      </c>
      <c r="L72" s="2"/>
      <c r="M72" s="2">
        <v>-161</v>
      </c>
      <c r="N72" s="2">
        <v>-161</v>
      </c>
    </row>
    <row r="73" spans="1:14" x14ac:dyDescent="0.25">
      <c r="A73" s="3">
        <v>2018</v>
      </c>
      <c r="B73" s="3">
        <v>3</v>
      </c>
      <c r="C73" t="s">
        <v>210</v>
      </c>
      <c r="D73" s="2">
        <v>50</v>
      </c>
      <c r="E73" s="2">
        <v>100</v>
      </c>
      <c r="F73" s="2">
        <v>-90</v>
      </c>
      <c r="G73" s="2"/>
      <c r="H73" s="2">
        <v>60</v>
      </c>
      <c r="I73" s="2"/>
      <c r="J73" s="2"/>
      <c r="K73" s="2"/>
      <c r="L73" s="2"/>
      <c r="M73" s="2"/>
      <c r="N73" s="2">
        <v>60</v>
      </c>
    </row>
    <row r="74" spans="1:14" x14ac:dyDescent="0.25">
      <c r="A74" s="3">
        <v>2018</v>
      </c>
      <c r="B74" s="3">
        <v>3</v>
      </c>
      <c r="C74" t="s">
        <v>211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4" x14ac:dyDescent="0.25">
      <c r="A75" s="3">
        <v>2018</v>
      </c>
      <c r="B75" s="3">
        <v>3</v>
      </c>
      <c r="C75" t="s">
        <v>212</v>
      </c>
      <c r="D75" s="2">
        <v>885</v>
      </c>
      <c r="E75" s="2">
        <v>2190</v>
      </c>
      <c r="F75" s="2">
        <v>460</v>
      </c>
      <c r="G75" s="2"/>
      <c r="H75" s="2">
        <v>3535</v>
      </c>
      <c r="I75" s="2">
        <v>-7</v>
      </c>
      <c r="J75" s="2">
        <v>108</v>
      </c>
      <c r="K75" s="2">
        <v>-580</v>
      </c>
      <c r="L75" s="2"/>
      <c r="M75" s="2">
        <v>-479</v>
      </c>
      <c r="N75" s="2">
        <v>3056</v>
      </c>
    </row>
    <row r="76" spans="1:14" x14ac:dyDescent="0.25">
      <c r="A76" s="3">
        <v>2018</v>
      </c>
      <c r="B76" s="3">
        <v>4</v>
      </c>
      <c r="C76" t="s">
        <v>155</v>
      </c>
      <c r="D76" s="2">
        <v>885</v>
      </c>
      <c r="E76" s="2">
        <v>2190</v>
      </c>
      <c r="F76" s="2">
        <v>460</v>
      </c>
      <c r="G76" s="2"/>
      <c r="H76" s="2">
        <v>3535</v>
      </c>
      <c r="I76" s="2">
        <v>-7</v>
      </c>
      <c r="J76" s="2">
        <v>108</v>
      </c>
      <c r="K76" s="2">
        <v>-580</v>
      </c>
      <c r="L76" s="2"/>
      <c r="M76" s="2">
        <v>-479</v>
      </c>
      <c r="N76" s="2">
        <v>3056</v>
      </c>
    </row>
    <row r="77" spans="1:14" x14ac:dyDescent="0.25">
      <c r="A77" s="3">
        <v>2018</v>
      </c>
      <c r="B77" s="3">
        <v>4</v>
      </c>
      <c r="C77" t="s">
        <v>195</v>
      </c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1:14" x14ac:dyDescent="0.25">
      <c r="A78" s="3">
        <v>2018</v>
      </c>
      <c r="B78" s="3">
        <v>4</v>
      </c>
      <c r="C78" t="s">
        <v>196</v>
      </c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1:14" x14ac:dyDescent="0.25">
      <c r="A79" s="3">
        <v>2018</v>
      </c>
      <c r="B79" s="3">
        <v>4</v>
      </c>
      <c r="C79" t="s">
        <v>197</v>
      </c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1:14" x14ac:dyDescent="0.25">
      <c r="A80" s="3">
        <v>2018</v>
      </c>
      <c r="B80" s="3">
        <v>4</v>
      </c>
      <c r="C80" t="s">
        <v>198</v>
      </c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1:14" x14ac:dyDescent="0.25">
      <c r="A81" s="3">
        <v>2018</v>
      </c>
      <c r="B81" s="3">
        <v>4</v>
      </c>
      <c r="C81" t="s">
        <v>199</v>
      </c>
      <c r="D81" s="2"/>
      <c r="E81" s="2">
        <v>-1100</v>
      </c>
      <c r="F81" s="2">
        <v>1100</v>
      </c>
      <c r="G81" s="2"/>
      <c r="H81" s="2">
        <v>0</v>
      </c>
      <c r="I81" s="2"/>
      <c r="J81" s="2">
        <v>-220</v>
      </c>
      <c r="K81" s="2">
        <v>220</v>
      </c>
      <c r="L81" s="2"/>
      <c r="M81" s="2">
        <v>0</v>
      </c>
      <c r="N81" s="2">
        <v>0</v>
      </c>
    </row>
    <row r="82" spans="1:14" x14ac:dyDescent="0.25">
      <c r="A82" s="3">
        <v>2018</v>
      </c>
      <c r="B82" s="3">
        <v>4</v>
      </c>
      <c r="C82" t="s">
        <v>200</v>
      </c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</row>
    <row r="83" spans="1:14" x14ac:dyDescent="0.25">
      <c r="A83" s="3">
        <v>2018</v>
      </c>
      <c r="B83" s="3">
        <v>4</v>
      </c>
      <c r="C83" t="s">
        <v>201</v>
      </c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</row>
    <row r="84" spans="1:14" x14ac:dyDescent="0.25">
      <c r="A84" s="3">
        <v>2018</v>
      </c>
      <c r="B84" s="3">
        <v>4</v>
      </c>
      <c r="C84" t="s">
        <v>202</v>
      </c>
      <c r="D84" s="2"/>
      <c r="E84" s="2">
        <v>-110</v>
      </c>
      <c r="F84" s="2">
        <v>-100</v>
      </c>
      <c r="G84" s="2"/>
      <c r="H84" s="2">
        <v>-210</v>
      </c>
      <c r="I84" s="2"/>
      <c r="J84" s="2">
        <v>2.2000000000000002</v>
      </c>
      <c r="K84" s="2"/>
      <c r="L84" s="2"/>
      <c r="M84" s="2">
        <v>2.2000000000000002</v>
      </c>
      <c r="N84" s="2">
        <v>-207.8</v>
      </c>
    </row>
    <row r="85" spans="1:14" x14ac:dyDescent="0.25">
      <c r="A85" s="3">
        <v>2018</v>
      </c>
      <c r="B85" s="3">
        <v>4</v>
      </c>
      <c r="C85" t="s">
        <v>203</v>
      </c>
      <c r="D85" s="2"/>
      <c r="E85" s="2">
        <v>-500</v>
      </c>
      <c r="F85" s="2">
        <v>-560</v>
      </c>
      <c r="G85" s="2"/>
      <c r="H85" s="2">
        <v>-1060</v>
      </c>
      <c r="I85" s="2"/>
      <c r="J85" s="2">
        <v>55</v>
      </c>
      <c r="K85" s="2">
        <v>460</v>
      </c>
      <c r="L85" s="2"/>
      <c r="M85" s="2">
        <v>515</v>
      </c>
      <c r="N85" s="2">
        <v>-545</v>
      </c>
    </row>
    <row r="86" spans="1:14" x14ac:dyDescent="0.25">
      <c r="A86" s="3">
        <v>2018</v>
      </c>
      <c r="B86" s="3">
        <v>4</v>
      </c>
      <c r="C86" t="s">
        <v>204</v>
      </c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</row>
    <row r="87" spans="1:14" x14ac:dyDescent="0.25">
      <c r="A87" s="3">
        <v>2018</v>
      </c>
      <c r="B87" s="3">
        <v>4</v>
      </c>
      <c r="C87" t="s">
        <v>205</v>
      </c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</row>
    <row r="88" spans="1:14" x14ac:dyDescent="0.25">
      <c r="A88" s="3">
        <v>2018</v>
      </c>
      <c r="B88" s="3">
        <v>4</v>
      </c>
      <c r="C88" t="s">
        <v>206</v>
      </c>
      <c r="D88" s="2">
        <v>-935</v>
      </c>
      <c r="E88" s="2">
        <v>-500</v>
      </c>
      <c r="F88" s="2"/>
      <c r="G88" s="2"/>
      <c r="H88" s="2">
        <v>-1435</v>
      </c>
      <c r="I88" s="2">
        <v>9.3000000000000007</v>
      </c>
      <c r="J88" s="2">
        <v>55</v>
      </c>
      <c r="K88" s="2"/>
      <c r="L88" s="2"/>
      <c r="M88" s="2">
        <v>64.3</v>
      </c>
      <c r="N88" s="2">
        <v>-1370.7</v>
      </c>
    </row>
    <row r="89" spans="1:14" x14ac:dyDescent="0.25">
      <c r="A89" s="3">
        <v>2018</v>
      </c>
      <c r="B89" s="3">
        <v>4</v>
      </c>
      <c r="C89" t="s">
        <v>207</v>
      </c>
      <c r="D89" s="2"/>
      <c r="E89" s="2"/>
      <c r="F89" s="2"/>
      <c r="G89" s="2"/>
      <c r="H89" s="2"/>
      <c r="I89" s="2">
        <v>-2.2999999999999998</v>
      </c>
      <c r="J89" s="2">
        <v>-0.2</v>
      </c>
      <c r="K89" s="2">
        <v>120</v>
      </c>
      <c r="L89" s="2"/>
      <c r="M89" s="2">
        <v>117.5</v>
      </c>
      <c r="N89" s="2">
        <v>117.5</v>
      </c>
    </row>
    <row r="90" spans="1:14" x14ac:dyDescent="0.25">
      <c r="A90" s="3">
        <v>2018</v>
      </c>
      <c r="B90" s="3">
        <v>4</v>
      </c>
      <c r="C90" t="s">
        <v>208</v>
      </c>
      <c r="D90" s="2"/>
      <c r="E90" s="2"/>
      <c r="F90" s="2"/>
      <c r="G90" s="2"/>
      <c r="H90" s="2"/>
      <c r="I90" s="2"/>
      <c r="J90" s="2"/>
      <c r="K90" s="2">
        <v>50</v>
      </c>
      <c r="L90" s="2"/>
      <c r="M90" s="2">
        <v>50</v>
      </c>
      <c r="N90" s="2">
        <v>50</v>
      </c>
    </row>
    <row r="91" spans="1:14" x14ac:dyDescent="0.25">
      <c r="A91" s="3">
        <v>2018</v>
      </c>
      <c r="B91" s="3">
        <v>4</v>
      </c>
      <c r="C91" t="s">
        <v>209</v>
      </c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</row>
    <row r="92" spans="1:14" x14ac:dyDescent="0.25">
      <c r="A92" s="3">
        <v>2018</v>
      </c>
      <c r="B92" s="3">
        <v>4</v>
      </c>
      <c r="C92" t="s">
        <v>210</v>
      </c>
      <c r="D92" s="2">
        <v>50</v>
      </c>
      <c r="E92" s="2">
        <v>20</v>
      </c>
      <c r="F92" s="2"/>
      <c r="G92" s="2"/>
      <c r="H92" s="2">
        <v>70</v>
      </c>
      <c r="I92" s="2"/>
      <c r="J92" s="2"/>
      <c r="K92" s="2"/>
      <c r="L92" s="2"/>
      <c r="M92" s="2"/>
      <c r="N92" s="2">
        <v>70</v>
      </c>
    </row>
    <row r="93" spans="1:14" x14ac:dyDescent="0.25">
      <c r="A93" s="3">
        <v>2018</v>
      </c>
      <c r="B93" s="3">
        <v>4</v>
      </c>
      <c r="C93" t="s">
        <v>211</v>
      </c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</row>
    <row r="94" spans="1:14" x14ac:dyDescent="0.25">
      <c r="A94" s="3">
        <v>2018</v>
      </c>
      <c r="B94" s="3">
        <v>4</v>
      </c>
      <c r="C94" t="s">
        <v>212</v>
      </c>
      <c r="D94" s="2"/>
      <c r="E94" s="2"/>
      <c r="F94" s="2">
        <v>900</v>
      </c>
      <c r="G94" s="2"/>
      <c r="H94" s="2">
        <v>900</v>
      </c>
      <c r="I94" s="2"/>
      <c r="J94" s="2"/>
      <c r="K94" s="2">
        <v>270</v>
      </c>
      <c r="L94" s="2"/>
      <c r="M94" s="2">
        <v>270</v>
      </c>
      <c r="N94" s="2">
        <v>1170</v>
      </c>
    </row>
    <row r="95" spans="1:14" x14ac:dyDescent="0.25">
      <c r="A95" s="3">
        <v>2018</v>
      </c>
      <c r="B95" s="3">
        <v>5</v>
      </c>
      <c r="C95" t="s">
        <v>155</v>
      </c>
      <c r="D95" s="2"/>
      <c r="E95" s="2"/>
      <c r="F95" s="2">
        <v>900</v>
      </c>
      <c r="G95" s="2"/>
      <c r="H95" s="2">
        <v>900</v>
      </c>
      <c r="I95" s="2"/>
      <c r="J95" s="2"/>
      <c r="K95" s="2">
        <v>270</v>
      </c>
      <c r="L95" s="2"/>
      <c r="M95" s="2">
        <v>270</v>
      </c>
      <c r="N95" s="2">
        <v>1170</v>
      </c>
    </row>
    <row r="96" spans="1:14" x14ac:dyDescent="0.25">
      <c r="A96" s="3">
        <v>2018</v>
      </c>
      <c r="B96" s="3">
        <v>5</v>
      </c>
      <c r="C96" t="s">
        <v>195</v>
      </c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</row>
    <row r="97" spans="1:14" x14ac:dyDescent="0.25">
      <c r="A97" s="3">
        <v>2018</v>
      </c>
      <c r="B97" s="3">
        <v>5</v>
      </c>
      <c r="C97" t="s">
        <v>196</v>
      </c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</row>
    <row r="98" spans="1:14" x14ac:dyDescent="0.25">
      <c r="A98" s="3">
        <v>2018</v>
      </c>
      <c r="B98" s="3">
        <v>5</v>
      </c>
      <c r="C98" t="s">
        <v>197</v>
      </c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</row>
    <row r="99" spans="1:14" x14ac:dyDescent="0.25">
      <c r="A99" s="3">
        <v>2018</v>
      </c>
      <c r="B99" s="3">
        <v>5</v>
      </c>
      <c r="C99" t="s">
        <v>198</v>
      </c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</row>
    <row r="100" spans="1:14" x14ac:dyDescent="0.25">
      <c r="A100" s="3">
        <v>2018</v>
      </c>
      <c r="B100" s="3">
        <v>5</v>
      </c>
      <c r="C100" t="s">
        <v>199</v>
      </c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</row>
    <row r="101" spans="1:14" x14ac:dyDescent="0.25">
      <c r="A101" s="3">
        <v>2018</v>
      </c>
      <c r="B101" s="3">
        <v>5</v>
      </c>
      <c r="C101" t="s">
        <v>200</v>
      </c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</row>
    <row r="102" spans="1:14" x14ac:dyDescent="0.25">
      <c r="A102" s="3">
        <v>2018</v>
      </c>
      <c r="B102" s="3">
        <v>5</v>
      </c>
      <c r="C102" t="s">
        <v>201</v>
      </c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</row>
    <row r="103" spans="1:14" x14ac:dyDescent="0.25">
      <c r="A103" s="3">
        <v>2018</v>
      </c>
      <c r="B103" s="3">
        <v>5</v>
      </c>
      <c r="C103" t="s">
        <v>202</v>
      </c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</row>
    <row r="104" spans="1:14" x14ac:dyDescent="0.25">
      <c r="A104" s="3">
        <v>2018</v>
      </c>
      <c r="B104" s="3">
        <v>5</v>
      </c>
      <c r="C104" t="s">
        <v>203</v>
      </c>
      <c r="D104" s="2"/>
      <c r="E104" s="2"/>
      <c r="F104" s="2">
        <v>-100</v>
      </c>
      <c r="G104" s="2"/>
      <c r="H104" s="2">
        <v>-100</v>
      </c>
      <c r="I104" s="2"/>
      <c r="J104" s="2"/>
      <c r="K104" s="2"/>
      <c r="L104" s="2"/>
      <c r="M104" s="2"/>
      <c r="N104" s="2">
        <v>-100</v>
      </c>
    </row>
    <row r="105" spans="1:14" x14ac:dyDescent="0.25">
      <c r="A105" s="3">
        <v>2018</v>
      </c>
      <c r="B105" s="3">
        <v>5</v>
      </c>
      <c r="C105" t="s">
        <v>204</v>
      </c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</row>
    <row r="106" spans="1:14" x14ac:dyDescent="0.25">
      <c r="A106" s="3">
        <v>2018</v>
      </c>
      <c r="B106" s="3">
        <v>5</v>
      </c>
      <c r="C106" t="s">
        <v>205</v>
      </c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</row>
    <row r="107" spans="1:14" x14ac:dyDescent="0.25">
      <c r="A107" s="3">
        <v>2018</v>
      </c>
      <c r="B107" s="3">
        <v>5</v>
      </c>
      <c r="C107" t="s">
        <v>206</v>
      </c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</row>
    <row r="108" spans="1:14" x14ac:dyDescent="0.25">
      <c r="A108" s="3">
        <v>2018</v>
      </c>
      <c r="B108" s="3">
        <v>5</v>
      </c>
      <c r="C108" t="s">
        <v>207</v>
      </c>
      <c r="D108" s="2"/>
      <c r="E108" s="2"/>
      <c r="F108" s="2"/>
      <c r="G108" s="2"/>
      <c r="H108" s="2"/>
      <c r="I108" s="2"/>
      <c r="J108" s="2"/>
      <c r="K108" s="2">
        <v>-30</v>
      </c>
      <c r="L108" s="2"/>
      <c r="M108" s="2">
        <v>-30</v>
      </c>
      <c r="N108" s="2">
        <v>-30</v>
      </c>
    </row>
    <row r="109" spans="1:14" x14ac:dyDescent="0.25">
      <c r="A109" s="3">
        <v>2018</v>
      </c>
      <c r="B109" s="3">
        <v>5</v>
      </c>
      <c r="C109" t="s">
        <v>208</v>
      </c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</row>
    <row r="110" spans="1:14" x14ac:dyDescent="0.25">
      <c r="A110" s="3">
        <v>2018</v>
      </c>
      <c r="B110" s="3">
        <v>5</v>
      </c>
      <c r="C110" t="s">
        <v>209</v>
      </c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</row>
    <row r="111" spans="1:14" x14ac:dyDescent="0.25">
      <c r="A111" s="3">
        <v>2018</v>
      </c>
      <c r="B111" s="3">
        <v>5</v>
      </c>
      <c r="C111" t="s">
        <v>210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</row>
    <row r="112" spans="1:14" x14ac:dyDescent="0.25">
      <c r="A112" s="3">
        <v>2018</v>
      </c>
      <c r="B112" s="3">
        <v>5</v>
      </c>
      <c r="C112" t="s">
        <v>211</v>
      </c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</row>
    <row r="113" spans="1:14" x14ac:dyDescent="0.25">
      <c r="A113" s="3">
        <v>2018</v>
      </c>
      <c r="B113" s="3">
        <v>5</v>
      </c>
      <c r="C113" t="s">
        <v>212</v>
      </c>
      <c r="D113" s="2"/>
      <c r="E113" s="2"/>
      <c r="F113" s="2">
        <v>800</v>
      </c>
      <c r="G113" s="2"/>
      <c r="H113" s="2">
        <v>800</v>
      </c>
      <c r="I113" s="2"/>
      <c r="J113" s="2"/>
      <c r="K113" s="2">
        <v>240</v>
      </c>
      <c r="L113" s="2"/>
      <c r="M113" s="2">
        <v>240</v>
      </c>
      <c r="N113" s="2">
        <v>1040</v>
      </c>
    </row>
    <row r="114" spans="1:14" x14ac:dyDescent="0.25">
      <c r="A114" s="3">
        <v>2018</v>
      </c>
      <c r="B114" s="3">
        <v>6</v>
      </c>
      <c r="C114" t="s">
        <v>155</v>
      </c>
      <c r="D114" s="2"/>
      <c r="E114" s="2"/>
      <c r="F114" s="2">
        <v>800</v>
      </c>
      <c r="G114" s="2"/>
      <c r="H114" s="2">
        <v>800</v>
      </c>
      <c r="I114" s="2"/>
      <c r="J114" s="2"/>
      <c r="K114" s="2">
        <v>240</v>
      </c>
      <c r="L114" s="2"/>
      <c r="M114" s="2">
        <v>240</v>
      </c>
      <c r="N114" s="2">
        <v>1040</v>
      </c>
    </row>
    <row r="115" spans="1:14" x14ac:dyDescent="0.25">
      <c r="A115" s="3">
        <v>2018</v>
      </c>
      <c r="B115" s="3">
        <v>6</v>
      </c>
      <c r="C115" t="s">
        <v>195</v>
      </c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</row>
    <row r="116" spans="1:14" x14ac:dyDescent="0.25">
      <c r="A116" s="3">
        <v>2018</v>
      </c>
      <c r="B116" s="3">
        <v>6</v>
      </c>
      <c r="C116" t="s">
        <v>196</v>
      </c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</row>
    <row r="117" spans="1:14" x14ac:dyDescent="0.25">
      <c r="A117" s="3">
        <v>2018</v>
      </c>
      <c r="B117" s="3">
        <v>6</v>
      </c>
      <c r="C117" t="s">
        <v>197</v>
      </c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</row>
    <row r="118" spans="1:14" x14ac:dyDescent="0.25">
      <c r="A118" s="3">
        <v>2018</v>
      </c>
      <c r="B118" s="3">
        <v>6</v>
      </c>
      <c r="C118" t="s">
        <v>198</v>
      </c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</row>
    <row r="119" spans="1:14" x14ac:dyDescent="0.25">
      <c r="A119" s="3">
        <v>2018</v>
      </c>
      <c r="B119" s="3">
        <v>6</v>
      </c>
      <c r="C119" t="s">
        <v>199</v>
      </c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</row>
    <row r="120" spans="1:14" x14ac:dyDescent="0.25">
      <c r="A120" s="3">
        <v>2018</v>
      </c>
      <c r="B120" s="3">
        <v>6</v>
      </c>
      <c r="C120" t="s">
        <v>200</v>
      </c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</row>
    <row r="121" spans="1:14" x14ac:dyDescent="0.25">
      <c r="A121" s="3">
        <v>2018</v>
      </c>
      <c r="B121" s="3">
        <v>6</v>
      </c>
      <c r="C121" t="s">
        <v>201</v>
      </c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</row>
    <row r="122" spans="1:14" x14ac:dyDescent="0.25">
      <c r="A122" s="3">
        <v>2018</v>
      </c>
      <c r="B122" s="3">
        <v>6</v>
      </c>
      <c r="C122" t="s">
        <v>202</v>
      </c>
      <c r="D122" s="2"/>
      <c r="E122" s="2"/>
      <c r="F122" s="2">
        <v>100</v>
      </c>
      <c r="G122" s="2"/>
      <c r="H122" s="2">
        <v>100</v>
      </c>
      <c r="I122" s="2"/>
      <c r="J122" s="2"/>
      <c r="K122" s="2"/>
      <c r="L122" s="2"/>
      <c r="M122" s="2"/>
      <c r="N122" s="2">
        <v>100</v>
      </c>
    </row>
    <row r="123" spans="1:14" x14ac:dyDescent="0.25">
      <c r="A123" s="3">
        <v>2018</v>
      </c>
      <c r="B123" s="3">
        <v>6</v>
      </c>
      <c r="C123" t="s">
        <v>203</v>
      </c>
      <c r="D123" s="2"/>
      <c r="E123" s="2"/>
      <c r="F123" s="2">
        <v>200</v>
      </c>
      <c r="G123" s="2"/>
      <c r="H123" s="2">
        <v>200</v>
      </c>
      <c r="I123" s="2"/>
      <c r="J123" s="2"/>
      <c r="K123" s="2"/>
      <c r="L123" s="2"/>
      <c r="M123" s="2"/>
      <c r="N123" s="2">
        <v>200</v>
      </c>
    </row>
    <row r="124" spans="1:14" x14ac:dyDescent="0.25">
      <c r="A124" s="3">
        <v>2018</v>
      </c>
      <c r="B124" s="3">
        <v>6</v>
      </c>
      <c r="C124" t="s">
        <v>204</v>
      </c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</row>
    <row r="125" spans="1:14" x14ac:dyDescent="0.25">
      <c r="A125" s="3">
        <v>2018</v>
      </c>
      <c r="B125" s="3">
        <v>6</v>
      </c>
      <c r="C125" t="s">
        <v>205</v>
      </c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</row>
    <row r="126" spans="1:14" x14ac:dyDescent="0.25">
      <c r="A126" s="3">
        <v>2018</v>
      </c>
      <c r="B126" s="3">
        <v>6</v>
      </c>
      <c r="C126" t="s">
        <v>206</v>
      </c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</row>
    <row r="127" spans="1:14" x14ac:dyDescent="0.25">
      <c r="A127" s="3">
        <v>2018</v>
      </c>
      <c r="B127" s="3">
        <v>6</v>
      </c>
      <c r="C127" t="s">
        <v>207</v>
      </c>
      <c r="D127" s="2"/>
      <c r="E127" s="2"/>
      <c r="F127" s="2"/>
      <c r="G127" s="2"/>
      <c r="H127" s="2"/>
      <c r="I127" s="2"/>
      <c r="J127" s="2"/>
      <c r="K127" s="2">
        <v>90</v>
      </c>
      <c r="L127" s="2"/>
      <c r="M127" s="2">
        <v>90</v>
      </c>
      <c r="N127" s="2">
        <v>90</v>
      </c>
    </row>
    <row r="128" spans="1:14" x14ac:dyDescent="0.25">
      <c r="A128" s="3">
        <v>2018</v>
      </c>
      <c r="B128" s="3">
        <v>6</v>
      </c>
      <c r="C128" t="s">
        <v>208</v>
      </c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</row>
    <row r="129" spans="1:14" x14ac:dyDescent="0.25">
      <c r="A129" s="3">
        <v>2018</v>
      </c>
      <c r="B129" s="3">
        <v>6</v>
      </c>
      <c r="C129" t="s">
        <v>209</v>
      </c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</row>
    <row r="130" spans="1:14" x14ac:dyDescent="0.25">
      <c r="A130" s="3">
        <v>2018</v>
      </c>
      <c r="B130" s="3">
        <v>6</v>
      </c>
      <c r="C130" t="s">
        <v>210</v>
      </c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</row>
    <row r="131" spans="1:14" x14ac:dyDescent="0.25">
      <c r="A131" s="3">
        <v>2018</v>
      </c>
      <c r="B131" s="3">
        <v>6</v>
      </c>
      <c r="C131" t="s">
        <v>211</v>
      </c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</row>
    <row r="132" spans="1:14" x14ac:dyDescent="0.25">
      <c r="A132" s="3">
        <v>2018</v>
      </c>
      <c r="B132" s="3">
        <v>6</v>
      </c>
      <c r="C132" t="s">
        <v>212</v>
      </c>
      <c r="D132" s="2"/>
      <c r="E132" s="2"/>
      <c r="F132" s="2">
        <v>1100</v>
      </c>
      <c r="G132" s="2"/>
      <c r="H132" s="2">
        <v>1100</v>
      </c>
      <c r="I132" s="2"/>
      <c r="J132" s="2"/>
      <c r="K132" s="2">
        <v>330</v>
      </c>
      <c r="L132" s="2"/>
      <c r="M132" s="2">
        <v>330</v>
      </c>
      <c r="N132" s="2">
        <v>1430</v>
      </c>
    </row>
    <row r="133" spans="1:14" x14ac:dyDescent="0.25">
      <c r="A133" s="3">
        <v>2018</v>
      </c>
      <c r="B133" s="3">
        <v>7</v>
      </c>
      <c r="C133" t="s">
        <v>155</v>
      </c>
      <c r="D133" s="2"/>
      <c r="E133" s="2"/>
      <c r="F133" s="2">
        <v>1100</v>
      </c>
      <c r="G133" s="2"/>
      <c r="H133" s="2">
        <v>1100</v>
      </c>
      <c r="I133" s="2"/>
      <c r="J133" s="2"/>
      <c r="K133" s="2">
        <v>330</v>
      </c>
      <c r="L133" s="2"/>
      <c r="M133" s="2">
        <v>330</v>
      </c>
      <c r="N133" s="2">
        <v>1430</v>
      </c>
    </row>
    <row r="134" spans="1:14" x14ac:dyDescent="0.25">
      <c r="A134" s="3">
        <v>2018</v>
      </c>
      <c r="B134" s="3">
        <v>7</v>
      </c>
      <c r="C134" t="s">
        <v>195</v>
      </c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</row>
    <row r="135" spans="1:14" x14ac:dyDescent="0.25">
      <c r="A135" s="3">
        <v>2018</v>
      </c>
      <c r="B135" s="3">
        <v>7</v>
      </c>
      <c r="C135" t="s">
        <v>196</v>
      </c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</row>
    <row r="136" spans="1:14" x14ac:dyDescent="0.25">
      <c r="A136" s="3">
        <v>2018</v>
      </c>
      <c r="B136" s="3">
        <v>7</v>
      </c>
      <c r="C136" t="s">
        <v>197</v>
      </c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</row>
    <row r="137" spans="1:14" x14ac:dyDescent="0.25">
      <c r="A137" s="3">
        <v>2018</v>
      </c>
      <c r="B137" s="3">
        <v>7</v>
      </c>
      <c r="C137" t="s">
        <v>198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</row>
    <row r="138" spans="1:14" x14ac:dyDescent="0.25">
      <c r="A138" s="3">
        <v>2018</v>
      </c>
      <c r="B138" s="3">
        <v>7</v>
      </c>
      <c r="C138" t="s">
        <v>199</v>
      </c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</row>
    <row r="139" spans="1:14" x14ac:dyDescent="0.25">
      <c r="A139" s="3">
        <v>2018</v>
      </c>
      <c r="B139" s="3">
        <v>7</v>
      </c>
      <c r="C139" t="s">
        <v>200</v>
      </c>
      <c r="D139" s="2"/>
      <c r="E139" s="2">
        <v>900</v>
      </c>
      <c r="F139" s="2">
        <v>-900</v>
      </c>
      <c r="G139" s="2"/>
      <c r="H139" s="2">
        <v>0</v>
      </c>
      <c r="I139" s="2"/>
      <c r="J139" s="2">
        <v>330</v>
      </c>
      <c r="K139" s="2">
        <v>-330</v>
      </c>
      <c r="L139" s="2"/>
      <c r="M139" s="2">
        <v>0</v>
      </c>
      <c r="N139" s="2">
        <v>0</v>
      </c>
    </row>
    <row r="140" spans="1:14" x14ac:dyDescent="0.25">
      <c r="A140" s="3">
        <v>2018</v>
      </c>
      <c r="B140" s="3">
        <v>7</v>
      </c>
      <c r="C140" t="s">
        <v>201</v>
      </c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</row>
    <row r="141" spans="1:14" x14ac:dyDescent="0.25">
      <c r="A141" s="3">
        <v>2018</v>
      </c>
      <c r="B141" s="3">
        <v>7</v>
      </c>
      <c r="C141" t="s">
        <v>202</v>
      </c>
      <c r="D141" s="2"/>
      <c r="E141" s="2"/>
      <c r="F141" s="2">
        <v>-100</v>
      </c>
      <c r="G141" s="2"/>
      <c r="H141" s="2">
        <v>-100</v>
      </c>
      <c r="I141" s="2"/>
      <c r="J141" s="2"/>
      <c r="K141" s="2"/>
      <c r="L141" s="2"/>
      <c r="M141" s="2"/>
      <c r="N141" s="2">
        <v>-100</v>
      </c>
    </row>
    <row r="142" spans="1:14" x14ac:dyDescent="0.25">
      <c r="A142" s="3">
        <v>2018</v>
      </c>
      <c r="B142" s="3">
        <v>7</v>
      </c>
      <c r="C142" t="s">
        <v>203</v>
      </c>
      <c r="D142" s="2"/>
      <c r="E142" s="2"/>
      <c r="F142" s="2">
        <v>-100</v>
      </c>
      <c r="G142" s="2"/>
      <c r="H142" s="2">
        <v>-100</v>
      </c>
      <c r="I142" s="2"/>
      <c r="J142" s="2"/>
      <c r="K142" s="2"/>
      <c r="L142" s="2"/>
      <c r="M142" s="2"/>
      <c r="N142" s="2">
        <v>-100</v>
      </c>
    </row>
    <row r="143" spans="1:14" x14ac:dyDescent="0.25">
      <c r="A143" s="3">
        <v>2018</v>
      </c>
      <c r="B143" s="3">
        <v>7</v>
      </c>
      <c r="C143" t="s">
        <v>204</v>
      </c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</row>
    <row r="144" spans="1:14" x14ac:dyDescent="0.25">
      <c r="A144" s="3">
        <v>2018</v>
      </c>
      <c r="B144" s="3">
        <v>7</v>
      </c>
      <c r="C144" t="s">
        <v>205</v>
      </c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</row>
    <row r="145" spans="1:14" x14ac:dyDescent="0.25">
      <c r="A145" s="3">
        <v>2018</v>
      </c>
      <c r="B145" s="3">
        <v>7</v>
      </c>
      <c r="C145" t="s">
        <v>206</v>
      </c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</row>
    <row r="146" spans="1:14" x14ac:dyDescent="0.25">
      <c r="A146" s="3">
        <v>2018</v>
      </c>
      <c r="B146" s="3">
        <v>7</v>
      </c>
      <c r="C146" t="s">
        <v>207</v>
      </c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</row>
    <row r="147" spans="1:14" x14ac:dyDescent="0.25">
      <c r="A147" s="3">
        <v>2018</v>
      </c>
      <c r="B147" s="3">
        <v>7</v>
      </c>
      <c r="C147" t="s">
        <v>208</v>
      </c>
      <c r="D147" s="2"/>
      <c r="E147" s="2"/>
      <c r="F147" s="2"/>
      <c r="G147" s="2"/>
      <c r="H147" s="2"/>
      <c r="I147" s="2"/>
      <c r="J147" s="2">
        <v>-150</v>
      </c>
      <c r="K147" s="2"/>
      <c r="L147" s="2"/>
      <c r="M147" s="2">
        <v>-150</v>
      </c>
      <c r="N147" s="2">
        <v>-150</v>
      </c>
    </row>
    <row r="148" spans="1:14" x14ac:dyDescent="0.25">
      <c r="A148" s="3">
        <v>2018</v>
      </c>
      <c r="B148" s="3">
        <v>7</v>
      </c>
      <c r="C148" t="s">
        <v>209</v>
      </c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</row>
    <row r="149" spans="1:14" x14ac:dyDescent="0.25">
      <c r="A149" s="3">
        <v>2018</v>
      </c>
      <c r="B149" s="3">
        <v>7</v>
      </c>
      <c r="C149" t="s">
        <v>210</v>
      </c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</row>
    <row r="150" spans="1:14" x14ac:dyDescent="0.25">
      <c r="A150" s="3">
        <v>2018</v>
      </c>
      <c r="B150" s="3">
        <v>7</v>
      </c>
      <c r="C150" t="s">
        <v>211</v>
      </c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</row>
    <row r="151" spans="1:14" x14ac:dyDescent="0.25">
      <c r="A151" s="3">
        <v>2018</v>
      </c>
      <c r="B151" s="3">
        <v>7</v>
      </c>
      <c r="C151" t="s">
        <v>212</v>
      </c>
      <c r="D151" s="2"/>
      <c r="E151" s="2">
        <v>900</v>
      </c>
      <c r="F151" s="2"/>
      <c r="G151" s="2"/>
      <c r="H151" s="2">
        <v>900</v>
      </c>
      <c r="I151" s="2"/>
      <c r="J151" s="2">
        <v>180</v>
      </c>
      <c r="K151" s="2"/>
      <c r="L151" s="2"/>
      <c r="M151" s="2">
        <v>180</v>
      </c>
      <c r="N151" s="2">
        <v>1080</v>
      </c>
    </row>
    <row r="152" spans="1:14" x14ac:dyDescent="0.25">
      <c r="A152" s="3">
        <v>2018</v>
      </c>
      <c r="B152" s="3">
        <v>8</v>
      </c>
      <c r="C152" t="s">
        <v>155</v>
      </c>
      <c r="D152" s="2"/>
      <c r="E152" s="2">
        <v>900</v>
      </c>
      <c r="F152" s="2"/>
      <c r="G152" s="2"/>
      <c r="H152" s="2">
        <v>900</v>
      </c>
      <c r="I152" s="2"/>
      <c r="J152" s="2">
        <v>180</v>
      </c>
      <c r="K152" s="2"/>
      <c r="L152" s="2"/>
      <c r="M152" s="2">
        <v>180</v>
      </c>
      <c r="N152" s="2">
        <v>1080</v>
      </c>
    </row>
    <row r="153" spans="1:14" x14ac:dyDescent="0.25">
      <c r="A153" s="3">
        <v>2018</v>
      </c>
      <c r="B153" s="3">
        <v>8</v>
      </c>
      <c r="C153" t="s">
        <v>195</v>
      </c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</row>
    <row r="154" spans="1:14" x14ac:dyDescent="0.25">
      <c r="A154" s="3">
        <v>2018</v>
      </c>
      <c r="B154" s="3">
        <v>8</v>
      </c>
      <c r="C154" t="s">
        <v>196</v>
      </c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</row>
    <row r="155" spans="1:14" x14ac:dyDescent="0.25">
      <c r="A155" s="3">
        <v>2018</v>
      </c>
      <c r="B155" s="3">
        <v>8</v>
      </c>
      <c r="C155" t="s">
        <v>197</v>
      </c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</row>
    <row r="156" spans="1:14" x14ac:dyDescent="0.25">
      <c r="A156" s="3">
        <v>2018</v>
      </c>
      <c r="B156" s="3">
        <v>8</v>
      </c>
      <c r="C156" t="s">
        <v>198</v>
      </c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</row>
    <row r="157" spans="1:14" x14ac:dyDescent="0.25">
      <c r="A157" s="3">
        <v>2018</v>
      </c>
      <c r="B157" s="3">
        <v>8</v>
      </c>
      <c r="C157" t="s">
        <v>199</v>
      </c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</row>
    <row r="158" spans="1:14" x14ac:dyDescent="0.25">
      <c r="A158" s="3">
        <v>2018</v>
      </c>
      <c r="B158" s="3">
        <v>8</v>
      </c>
      <c r="C158" t="s">
        <v>200</v>
      </c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</row>
    <row r="159" spans="1:14" x14ac:dyDescent="0.25">
      <c r="A159" s="3">
        <v>2018</v>
      </c>
      <c r="B159" s="3">
        <v>8</v>
      </c>
      <c r="C159" t="s">
        <v>201</v>
      </c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</row>
    <row r="160" spans="1:14" x14ac:dyDescent="0.25">
      <c r="A160" s="3">
        <v>2018</v>
      </c>
      <c r="B160" s="3">
        <v>8</v>
      </c>
      <c r="C160" t="s">
        <v>202</v>
      </c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</row>
    <row r="161" spans="1:14" x14ac:dyDescent="0.25">
      <c r="A161" s="3">
        <v>2018</v>
      </c>
      <c r="B161" s="3">
        <v>8</v>
      </c>
      <c r="C161" t="s">
        <v>203</v>
      </c>
      <c r="D161" s="2"/>
      <c r="E161" s="2">
        <v>-100</v>
      </c>
      <c r="F161" s="2"/>
      <c r="G161" s="2"/>
      <c r="H161" s="2">
        <v>-100</v>
      </c>
      <c r="I161" s="2"/>
      <c r="J161" s="2"/>
      <c r="K161" s="2"/>
      <c r="L161" s="2"/>
      <c r="M161" s="2"/>
      <c r="N161" s="2">
        <v>-100</v>
      </c>
    </row>
    <row r="162" spans="1:14" x14ac:dyDescent="0.25">
      <c r="A162" s="3">
        <v>2018</v>
      </c>
      <c r="B162" s="3">
        <v>8</v>
      </c>
      <c r="C162" t="s">
        <v>204</v>
      </c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</row>
    <row r="163" spans="1:14" x14ac:dyDescent="0.25">
      <c r="A163" s="3">
        <v>2018</v>
      </c>
      <c r="B163" s="3">
        <v>8</v>
      </c>
      <c r="C163" t="s">
        <v>205</v>
      </c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</row>
    <row r="164" spans="1:14" x14ac:dyDescent="0.25">
      <c r="A164" s="3">
        <v>2018</v>
      </c>
      <c r="B164" s="3">
        <v>8</v>
      </c>
      <c r="C164" t="s">
        <v>206</v>
      </c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</row>
    <row r="165" spans="1:14" x14ac:dyDescent="0.25">
      <c r="A165" s="3">
        <v>2018</v>
      </c>
      <c r="B165" s="3">
        <v>8</v>
      </c>
      <c r="C165" t="s">
        <v>207</v>
      </c>
      <c r="D165" s="2"/>
      <c r="E165" s="2"/>
      <c r="F165" s="2"/>
      <c r="G165" s="2"/>
      <c r="H165" s="2"/>
      <c r="I165" s="2"/>
      <c r="J165" s="2">
        <v>-20</v>
      </c>
      <c r="K165" s="2"/>
      <c r="L165" s="2"/>
      <c r="M165" s="2">
        <v>-20</v>
      </c>
      <c r="N165" s="2">
        <v>-20</v>
      </c>
    </row>
    <row r="166" spans="1:14" x14ac:dyDescent="0.25">
      <c r="A166" s="3">
        <v>2018</v>
      </c>
      <c r="B166" s="3">
        <v>8</v>
      </c>
      <c r="C166" t="s">
        <v>208</v>
      </c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</row>
    <row r="167" spans="1:14" x14ac:dyDescent="0.25">
      <c r="A167" s="3">
        <v>2018</v>
      </c>
      <c r="B167" s="3">
        <v>8</v>
      </c>
      <c r="C167" t="s">
        <v>209</v>
      </c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</row>
    <row r="168" spans="1:14" x14ac:dyDescent="0.25">
      <c r="A168" s="3">
        <v>2018</v>
      </c>
      <c r="B168" s="3">
        <v>8</v>
      </c>
      <c r="C168" t="s">
        <v>210</v>
      </c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</row>
    <row r="169" spans="1:14" x14ac:dyDescent="0.25">
      <c r="A169" s="3">
        <v>2018</v>
      </c>
      <c r="B169" s="3">
        <v>8</v>
      </c>
      <c r="C169" t="s">
        <v>211</v>
      </c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</row>
    <row r="170" spans="1:14" x14ac:dyDescent="0.25">
      <c r="A170" s="3">
        <v>2018</v>
      </c>
      <c r="B170" s="3">
        <v>8</v>
      </c>
      <c r="C170" t="s">
        <v>212</v>
      </c>
      <c r="D170" s="2"/>
      <c r="E170" s="2">
        <v>800</v>
      </c>
      <c r="F170" s="2"/>
      <c r="G170" s="2"/>
      <c r="H170" s="2">
        <v>800</v>
      </c>
      <c r="I170" s="2"/>
      <c r="J170" s="2">
        <v>160</v>
      </c>
      <c r="K170" s="2"/>
      <c r="L170" s="2"/>
      <c r="M170" s="2">
        <v>160</v>
      </c>
      <c r="N170" s="2">
        <v>960</v>
      </c>
    </row>
    <row r="171" spans="1:14" x14ac:dyDescent="0.25">
      <c r="A171" s="3">
        <v>2018</v>
      </c>
      <c r="B171" s="3">
        <v>9</v>
      </c>
      <c r="C171" t="s">
        <v>155</v>
      </c>
      <c r="D171" s="2"/>
      <c r="E171" s="2">
        <v>800</v>
      </c>
      <c r="F171" s="2"/>
      <c r="G171" s="2"/>
      <c r="H171" s="2">
        <v>800</v>
      </c>
      <c r="I171" s="2"/>
      <c r="J171" s="2">
        <v>160</v>
      </c>
      <c r="K171" s="2"/>
      <c r="L171" s="2"/>
      <c r="M171" s="2">
        <v>160</v>
      </c>
      <c r="N171" s="2">
        <v>960</v>
      </c>
    </row>
    <row r="172" spans="1:14" x14ac:dyDescent="0.25">
      <c r="A172" s="3">
        <v>2018</v>
      </c>
      <c r="B172" s="3">
        <v>9</v>
      </c>
      <c r="C172" t="s">
        <v>195</v>
      </c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</row>
    <row r="173" spans="1:14" x14ac:dyDescent="0.25">
      <c r="A173" s="3">
        <v>2018</v>
      </c>
      <c r="B173" s="3">
        <v>9</v>
      </c>
      <c r="C173" t="s">
        <v>196</v>
      </c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</row>
    <row r="174" spans="1:14" x14ac:dyDescent="0.25">
      <c r="A174" s="3">
        <v>2018</v>
      </c>
      <c r="B174" s="3">
        <v>9</v>
      </c>
      <c r="C174" t="s">
        <v>197</v>
      </c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</row>
    <row r="175" spans="1:14" x14ac:dyDescent="0.25">
      <c r="A175" s="3">
        <v>2018</v>
      </c>
      <c r="B175" s="3">
        <v>9</v>
      </c>
      <c r="C175" t="s">
        <v>198</v>
      </c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</row>
    <row r="176" spans="1:14" x14ac:dyDescent="0.25">
      <c r="A176" s="3">
        <v>2018</v>
      </c>
      <c r="B176" s="3">
        <v>9</v>
      </c>
      <c r="C176" t="s">
        <v>199</v>
      </c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</row>
    <row r="177" spans="1:14" x14ac:dyDescent="0.25">
      <c r="A177" s="3">
        <v>2018</v>
      </c>
      <c r="B177" s="3">
        <v>9</v>
      </c>
      <c r="C177" t="s">
        <v>200</v>
      </c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</row>
    <row r="178" spans="1:14" x14ac:dyDescent="0.25">
      <c r="A178" s="3">
        <v>2018</v>
      </c>
      <c r="B178" s="3">
        <v>9</v>
      </c>
      <c r="C178" t="s">
        <v>201</v>
      </c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</row>
    <row r="179" spans="1:14" x14ac:dyDescent="0.25">
      <c r="A179" s="3">
        <v>2018</v>
      </c>
      <c r="B179" s="3">
        <v>9</v>
      </c>
      <c r="C179" t="s">
        <v>202</v>
      </c>
      <c r="D179" s="2"/>
      <c r="E179" s="2">
        <v>200</v>
      </c>
      <c r="F179" s="2"/>
      <c r="G179" s="2"/>
      <c r="H179" s="2">
        <v>200</v>
      </c>
      <c r="I179" s="2"/>
      <c r="J179" s="2"/>
      <c r="K179" s="2"/>
      <c r="L179" s="2"/>
      <c r="M179" s="2"/>
      <c r="N179" s="2">
        <v>200</v>
      </c>
    </row>
    <row r="180" spans="1:14" x14ac:dyDescent="0.25">
      <c r="A180" s="3">
        <v>2018</v>
      </c>
      <c r="B180" s="3">
        <v>9</v>
      </c>
      <c r="C180" t="s">
        <v>203</v>
      </c>
      <c r="D180" s="2"/>
      <c r="E180" s="2">
        <v>200</v>
      </c>
      <c r="F180" s="2"/>
      <c r="G180" s="2"/>
      <c r="H180" s="2">
        <v>200</v>
      </c>
      <c r="I180" s="2"/>
      <c r="J180" s="2"/>
      <c r="K180" s="2"/>
      <c r="L180" s="2"/>
      <c r="M180" s="2"/>
      <c r="N180" s="2">
        <v>200</v>
      </c>
    </row>
    <row r="181" spans="1:14" x14ac:dyDescent="0.25">
      <c r="A181" s="3">
        <v>2018</v>
      </c>
      <c r="B181" s="3">
        <v>9</v>
      </c>
      <c r="C181" t="s">
        <v>204</v>
      </c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</row>
    <row r="182" spans="1:14" x14ac:dyDescent="0.25">
      <c r="A182" s="3">
        <v>2018</v>
      </c>
      <c r="B182" s="3">
        <v>9</v>
      </c>
      <c r="C182" t="s">
        <v>205</v>
      </c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</row>
    <row r="183" spans="1:14" x14ac:dyDescent="0.25">
      <c r="A183" s="3">
        <v>2018</v>
      </c>
      <c r="B183" s="3">
        <v>9</v>
      </c>
      <c r="C183" t="s">
        <v>206</v>
      </c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</row>
    <row r="184" spans="1:14" x14ac:dyDescent="0.25">
      <c r="A184" s="3">
        <v>2018</v>
      </c>
      <c r="B184" s="3">
        <v>9</v>
      </c>
      <c r="C184" t="s">
        <v>207</v>
      </c>
      <c r="D184" s="2"/>
      <c r="E184" s="2"/>
      <c r="F184" s="2"/>
      <c r="G184" s="2"/>
      <c r="H184" s="2"/>
      <c r="I184" s="2"/>
      <c r="J184" s="2">
        <v>80</v>
      </c>
      <c r="K184" s="2"/>
      <c r="L184" s="2"/>
      <c r="M184" s="2">
        <v>80</v>
      </c>
      <c r="N184" s="2">
        <v>80</v>
      </c>
    </row>
    <row r="185" spans="1:14" x14ac:dyDescent="0.25">
      <c r="A185" s="3">
        <v>2018</v>
      </c>
      <c r="B185" s="3">
        <v>9</v>
      </c>
      <c r="C185" t="s">
        <v>208</v>
      </c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</row>
    <row r="186" spans="1:14" x14ac:dyDescent="0.25">
      <c r="A186" s="3">
        <v>2018</v>
      </c>
      <c r="B186" s="3">
        <v>9</v>
      </c>
      <c r="C186" t="s">
        <v>209</v>
      </c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</row>
    <row r="187" spans="1:14" x14ac:dyDescent="0.25">
      <c r="A187" s="3">
        <v>2018</v>
      </c>
      <c r="B187" s="3">
        <v>9</v>
      </c>
      <c r="C187" t="s">
        <v>210</v>
      </c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</row>
    <row r="188" spans="1:14" x14ac:dyDescent="0.25">
      <c r="A188" s="3">
        <v>2018</v>
      </c>
      <c r="B188" s="3">
        <v>9</v>
      </c>
      <c r="C188" t="s">
        <v>211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</row>
    <row r="189" spans="1:14" x14ac:dyDescent="0.25">
      <c r="A189" s="3">
        <v>2018</v>
      </c>
      <c r="B189" s="3">
        <v>9</v>
      </c>
      <c r="C189" t="s">
        <v>212</v>
      </c>
      <c r="D189" s="2"/>
      <c r="E189" s="2">
        <v>1200</v>
      </c>
      <c r="F189" s="2"/>
      <c r="G189" s="2"/>
      <c r="H189" s="2">
        <v>1200</v>
      </c>
      <c r="I189" s="2"/>
      <c r="J189" s="2">
        <v>240</v>
      </c>
      <c r="K189" s="2"/>
      <c r="L189" s="2"/>
      <c r="M189" s="2">
        <v>240</v>
      </c>
      <c r="N189" s="2">
        <v>1440</v>
      </c>
    </row>
    <row r="190" spans="1:14" x14ac:dyDescent="0.25">
      <c r="A190" s="3">
        <v>2018</v>
      </c>
      <c r="B190" s="3">
        <v>10</v>
      </c>
      <c r="C190" t="s">
        <v>155</v>
      </c>
      <c r="D190" s="2"/>
      <c r="E190" s="2">
        <v>1200</v>
      </c>
      <c r="F190" s="2"/>
      <c r="G190" s="2"/>
      <c r="H190" s="2">
        <v>1200</v>
      </c>
      <c r="I190" s="2"/>
      <c r="J190" s="2">
        <v>240</v>
      </c>
      <c r="K190" s="2"/>
      <c r="L190" s="2"/>
      <c r="M190" s="2">
        <v>240</v>
      </c>
      <c r="N190" s="2">
        <v>1440</v>
      </c>
    </row>
    <row r="191" spans="1:14" x14ac:dyDescent="0.25">
      <c r="A191" s="3">
        <v>2018</v>
      </c>
      <c r="B191" s="3">
        <v>10</v>
      </c>
      <c r="C191" t="s">
        <v>195</v>
      </c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</row>
    <row r="192" spans="1:14" x14ac:dyDescent="0.25">
      <c r="A192" s="3">
        <v>2018</v>
      </c>
      <c r="B192" s="3">
        <v>10</v>
      </c>
      <c r="C192" t="s">
        <v>196</v>
      </c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</row>
    <row r="193" spans="1:14" x14ac:dyDescent="0.25">
      <c r="A193" s="3">
        <v>2018</v>
      </c>
      <c r="B193" s="3">
        <v>10</v>
      </c>
      <c r="C193" t="s">
        <v>197</v>
      </c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</row>
    <row r="194" spans="1:14" x14ac:dyDescent="0.25">
      <c r="A194" s="3">
        <v>2018</v>
      </c>
      <c r="B194" s="3">
        <v>10</v>
      </c>
      <c r="C194" t="s">
        <v>198</v>
      </c>
      <c r="D194" s="2">
        <v>800</v>
      </c>
      <c r="E194" s="2">
        <v>-800</v>
      </c>
      <c r="F194" s="2"/>
      <c r="G194" s="2"/>
      <c r="H194" s="2">
        <v>0</v>
      </c>
      <c r="I194" s="2">
        <v>240</v>
      </c>
      <c r="J194" s="2">
        <v>-240</v>
      </c>
      <c r="K194" s="2"/>
      <c r="L194" s="2"/>
      <c r="M194" s="2">
        <v>0</v>
      </c>
      <c r="N194" s="2">
        <v>0</v>
      </c>
    </row>
    <row r="195" spans="1:14" x14ac:dyDescent="0.25">
      <c r="A195" s="3">
        <v>2018</v>
      </c>
      <c r="B195" s="3">
        <v>10</v>
      </c>
      <c r="C195" t="s">
        <v>199</v>
      </c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</row>
    <row r="196" spans="1:14" x14ac:dyDescent="0.25">
      <c r="A196" s="3">
        <v>2018</v>
      </c>
      <c r="B196" s="3">
        <v>10</v>
      </c>
      <c r="C196" t="s">
        <v>200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</row>
    <row r="197" spans="1:14" x14ac:dyDescent="0.25">
      <c r="A197" s="3">
        <v>2018</v>
      </c>
      <c r="B197" s="3">
        <v>10</v>
      </c>
      <c r="C197" t="s">
        <v>201</v>
      </c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</row>
    <row r="198" spans="1:14" x14ac:dyDescent="0.25">
      <c r="A198" s="3">
        <v>2018</v>
      </c>
      <c r="B198" s="3">
        <v>10</v>
      </c>
      <c r="C198" t="s">
        <v>202</v>
      </c>
      <c r="D198" s="2"/>
      <c r="E198" s="2">
        <v>-200</v>
      </c>
      <c r="F198" s="2"/>
      <c r="G198" s="2"/>
      <c r="H198" s="2">
        <v>-200</v>
      </c>
      <c r="I198" s="2"/>
      <c r="J198" s="2"/>
      <c r="K198" s="2"/>
      <c r="L198" s="2"/>
      <c r="M198" s="2"/>
      <c r="N198" s="2">
        <v>-200</v>
      </c>
    </row>
    <row r="199" spans="1:14" x14ac:dyDescent="0.25">
      <c r="A199" s="3">
        <v>2018</v>
      </c>
      <c r="B199" s="3">
        <v>10</v>
      </c>
      <c r="C199" t="s">
        <v>203</v>
      </c>
      <c r="D199" s="2"/>
      <c r="E199" s="2">
        <v>-200</v>
      </c>
      <c r="F199" s="2"/>
      <c r="G199" s="2"/>
      <c r="H199" s="2">
        <v>-200</v>
      </c>
      <c r="I199" s="2"/>
      <c r="J199" s="2"/>
      <c r="K199" s="2"/>
      <c r="L199" s="2"/>
      <c r="M199" s="2"/>
      <c r="N199" s="2">
        <v>-200</v>
      </c>
    </row>
    <row r="200" spans="1:14" x14ac:dyDescent="0.25">
      <c r="A200" s="3">
        <v>2018</v>
      </c>
      <c r="B200" s="3">
        <v>10</v>
      </c>
      <c r="C200" t="s">
        <v>204</v>
      </c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</row>
    <row r="201" spans="1:14" x14ac:dyDescent="0.25">
      <c r="A201" s="3">
        <v>2018</v>
      </c>
      <c r="B201" s="3">
        <v>10</v>
      </c>
      <c r="C201" t="s">
        <v>205</v>
      </c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</row>
    <row r="202" spans="1:14" x14ac:dyDescent="0.25">
      <c r="A202" s="3">
        <v>2018</v>
      </c>
      <c r="B202" s="3">
        <v>10</v>
      </c>
      <c r="C202" t="s">
        <v>206</v>
      </c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</row>
    <row r="203" spans="1:14" x14ac:dyDescent="0.25">
      <c r="A203" s="3">
        <v>2018</v>
      </c>
      <c r="B203" s="3">
        <v>10</v>
      </c>
      <c r="C203" t="s">
        <v>207</v>
      </c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</row>
    <row r="204" spans="1:14" x14ac:dyDescent="0.25">
      <c r="A204" s="3">
        <v>2018</v>
      </c>
      <c r="B204" s="3">
        <v>10</v>
      </c>
      <c r="C204" t="s">
        <v>208</v>
      </c>
      <c r="D204" s="2"/>
      <c r="E204" s="2"/>
      <c r="F204" s="2"/>
      <c r="G204" s="2"/>
      <c r="H204" s="2"/>
      <c r="I204" s="2">
        <v>-160</v>
      </c>
      <c r="J204" s="2"/>
      <c r="K204" s="2"/>
      <c r="L204" s="2"/>
      <c r="M204" s="2">
        <v>-160</v>
      </c>
      <c r="N204" s="2">
        <v>-160</v>
      </c>
    </row>
    <row r="205" spans="1:14" x14ac:dyDescent="0.25">
      <c r="A205" s="3">
        <v>2018</v>
      </c>
      <c r="B205" s="3">
        <v>10</v>
      </c>
      <c r="C205" t="s">
        <v>209</v>
      </c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</row>
    <row r="206" spans="1:14" x14ac:dyDescent="0.25">
      <c r="A206" s="3">
        <v>2018</v>
      </c>
      <c r="B206" s="3">
        <v>10</v>
      </c>
      <c r="C206" t="s">
        <v>210</v>
      </c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</row>
    <row r="207" spans="1:14" x14ac:dyDescent="0.25">
      <c r="A207" s="3">
        <v>2018</v>
      </c>
      <c r="B207" s="3">
        <v>10</v>
      </c>
      <c r="C207" t="s">
        <v>211</v>
      </c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</row>
    <row r="208" spans="1:14" x14ac:dyDescent="0.25">
      <c r="A208" s="3">
        <v>2018</v>
      </c>
      <c r="B208" s="3">
        <v>10</v>
      </c>
      <c r="C208" t="s">
        <v>212</v>
      </c>
      <c r="D208" s="2">
        <v>800</v>
      </c>
      <c r="E208" s="2"/>
      <c r="F208" s="2"/>
      <c r="G208" s="2"/>
      <c r="H208" s="2">
        <v>800</v>
      </c>
      <c r="I208" s="2">
        <v>80</v>
      </c>
      <c r="J208" s="2"/>
      <c r="K208" s="2"/>
      <c r="L208" s="2"/>
      <c r="M208" s="2">
        <v>80</v>
      </c>
      <c r="N208" s="2">
        <v>880</v>
      </c>
    </row>
    <row r="209" spans="1:14" x14ac:dyDescent="0.25">
      <c r="A209" s="3">
        <v>2018</v>
      </c>
      <c r="B209" s="3">
        <v>11</v>
      </c>
      <c r="C209" t="s">
        <v>155</v>
      </c>
      <c r="D209" s="2">
        <v>800</v>
      </c>
      <c r="E209" s="2"/>
      <c r="F209" s="2"/>
      <c r="G209" s="2"/>
      <c r="H209" s="2">
        <v>800</v>
      </c>
      <c r="I209" s="2">
        <v>80</v>
      </c>
      <c r="J209" s="2"/>
      <c r="K209" s="2"/>
      <c r="L209" s="2"/>
      <c r="M209" s="2">
        <v>80</v>
      </c>
      <c r="N209" s="2">
        <v>880</v>
      </c>
    </row>
    <row r="210" spans="1:14" x14ac:dyDescent="0.25">
      <c r="A210" s="3">
        <v>2018</v>
      </c>
      <c r="B210" s="3">
        <v>11</v>
      </c>
      <c r="C210" t="s">
        <v>195</v>
      </c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</row>
    <row r="211" spans="1:14" x14ac:dyDescent="0.25">
      <c r="A211" s="3">
        <v>2018</v>
      </c>
      <c r="B211" s="3">
        <v>11</v>
      </c>
      <c r="C211" t="s">
        <v>196</v>
      </c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</row>
    <row r="212" spans="1:14" x14ac:dyDescent="0.25">
      <c r="A212" s="3">
        <v>2018</v>
      </c>
      <c r="B212" s="3">
        <v>11</v>
      </c>
      <c r="C212" t="s">
        <v>197</v>
      </c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</row>
    <row r="213" spans="1:14" x14ac:dyDescent="0.25">
      <c r="A213" s="3">
        <v>2018</v>
      </c>
      <c r="B213" s="3">
        <v>11</v>
      </c>
      <c r="C213" t="s">
        <v>198</v>
      </c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</row>
    <row r="214" spans="1:14" x14ac:dyDescent="0.25">
      <c r="A214" s="3">
        <v>2018</v>
      </c>
      <c r="B214" s="3">
        <v>11</v>
      </c>
      <c r="C214" t="s">
        <v>199</v>
      </c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</row>
    <row r="215" spans="1:14" x14ac:dyDescent="0.25">
      <c r="A215" s="3">
        <v>2018</v>
      </c>
      <c r="B215" s="3">
        <v>11</v>
      </c>
      <c r="C215" t="s">
        <v>200</v>
      </c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</row>
    <row r="216" spans="1:14" x14ac:dyDescent="0.25">
      <c r="A216" s="3">
        <v>2018</v>
      </c>
      <c r="B216" s="3">
        <v>11</v>
      </c>
      <c r="C216" t="s">
        <v>201</v>
      </c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</row>
    <row r="217" spans="1:14" x14ac:dyDescent="0.25">
      <c r="A217" s="3">
        <v>2018</v>
      </c>
      <c r="B217" s="3">
        <v>11</v>
      </c>
      <c r="C217" t="s">
        <v>202</v>
      </c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</row>
    <row r="218" spans="1:14" x14ac:dyDescent="0.25">
      <c r="A218" s="3">
        <v>2018</v>
      </c>
      <c r="B218" s="3">
        <v>11</v>
      </c>
      <c r="C218" t="s">
        <v>203</v>
      </c>
      <c r="D218" s="2">
        <v>-200</v>
      </c>
      <c r="E218" s="2"/>
      <c r="F218" s="2"/>
      <c r="G218" s="2"/>
      <c r="H218" s="2">
        <v>-200</v>
      </c>
      <c r="I218" s="2"/>
      <c r="J218" s="2"/>
      <c r="K218" s="2"/>
      <c r="L218" s="2"/>
      <c r="M218" s="2"/>
      <c r="N218" s="2">
        <v>-200</v>
      </c>
    </row>
    <row r="219" spans="1:14" x14ac:dyDescent="0.25">
      <c r="A219" s="3">
        <v>2018</v>
      </c>
      <c r="B219" s="3">
        <v>11</v>
      </c>
      <c r="C219" t="s">
        <v>204</v>
      </c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</row>
    <row r="220" spans="1:14" x14ac:dyDescent="0.25">
      <c r="A220" s="3">
        <v>2018</v>
      </c>
      <c r="B220" s="3">
        <v>11</v>
      </c>
      <c r="C220" t="s">
        <v>205</v>
      </c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</row>
    <row r="221" spans="1:14" x14ac:dyDescent="0.25">
      <c r="A221" s="3">
        <v>2018</v>
      </c>
      <c r="B221" s="3">
        <v>11</v>
      </c>
      <c r="C221" t="s">
        <v>206</v>
      </c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</row>
    <row r="222" spans="1:14" x14ac:dyDescent="0.25">
      <c r="A222" s="3">
        <v>2018</v>
      </c>
      <c r="B222" s="3">
        <v>11</v>
      </c>
      <c r="C222" t="s">
        <v>207</v>
      </c>
      <c r="D222" s="2"/>
      <c r="E222" s="2"/>
      <c r="F222" s="2"/>
      <c r="G222" s="2"/>
      <c r="H222" s="2"/>
      <c r="I222" s="2">
        <v>-20</v>
      </c>
      <c r="J222" s="2"/>
      <c r="K222" s="2"/>
      <c r="L222" s="2"/>
      <c r="M222" s="2">
        <v>-20</v>
      </c>
      <c r="N222" s="2">
        <v>-20</v>
      </c>
    </row>
    <row r="223" spans="1:14" x14ac:dyDescent="0.25">
      <c r="A223" s="3">
        <v>2018</v>
      </c>
      <c r="B223" s="3">
        <v>11</v>
      </c>
      <c r="C223" t="s">
        <v>208</v>
      </c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</row>
    <row r="224" spans="1:14" x14ac:dyDescent="0.25">
      <c r="A224" s="3">
        <v>2018</v>
      </c>
      <c r="B224" s="3">
        <v>11</v>
      </c>
      <c r="C224" t="s">
        <v>209</v>
      </c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</row>
    <row r="225" spans="1:14" x14ac:dyDescent="0.25">
      <c r="A225" s="3">
        <v>2018</v>
      </c>
      <c r="B225" s="3">
        <v>11</v>
      </c>
      <c r="C225" t="s">
        <v>210</v>
      </c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</row>
    <row r="226" spans="1:14" x14ac:dyDescent="0.25">
      <c r="A226" s="3">
        <v>2018</v>
      </c>
      <c r="B226" s="3">
        <v>11</v>
      </c>
      <c r="C226" t="s">
        <v>211</v>
      </c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</row>
    <row r="227" spans="1:14" x14ac:dyDescent="0.25">
      <c r="A227" s="3">
        <v>2018</v>
      </c>
      <c r="B227" s="3">
        <v>11</v>
      </c>
      <c r="C227" t="s">
        <v>212</v>
      </c>
      <c r="D227" s="2">
        <v>600</v>
      </c>
      <c r="E227" s="2"/>
      <c r="F227" s="2"/>
      <c r="G227" s="2"/>
      <c r="H227" s="2">
        <v>600</v>
      </c>
      <c r="I227" s="2">
        <v>60</v>
      </c>
      <c r="J227" s="2"/>
      <c r="K227" s="2"/>
      <c r="L227" s="2"/>
      <c r="M227" s="2">
        <v>60</v>
      </c>
      <c r="N227" s="2">
        <v>660</v>
      </c>
    </row>
    <row r="228" spans="1:14" x14ac:dyDescent="0.25">
      <c r="A228" s="3">
        <v>2018</v>
      </c>
      <c r="B228" s="3">
        <v>12</v>
      </c>
      <c r="C228" t="s">
        <v>155</v>
      </c>
      <c r="D228" s="2">
        <v>600</v>
      </c>
      <c r="E228" s="2"/>
      <c r="F228" s="2"/>
      <c r="G228" s="2"/>
      <c r="H228" s="2">
        <v>600</v>
      </c>
      <c r="I228" s="2">
        <v>60</v>
      </c>
      <c r="J228" s="2"/>
      <c r="K228" s="2"/>
      <c r="L228" s="2"/>
      <c r="M228" s="2">
        <v>60</v>
      </c>
      <c r="N228" s="2">
        <v>660</v>
      </c>
    </row>
    <row r="229" spans="1:14" x14ac:dyDescent="0.25">
      <c r="A229" s="3">
        <v>2018</v>
      </c>
      <c r="B229" s="3">
        <v>12</v>
      </c>
      <c r="C229" t="s">
        <v>195</v>
      </c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</row>
    <row r="230" spans="1:14" x14ac:dyDescent="0.25">
      <c r="A230" s="3">
        <v>2018</v>
      </c>
      <c r="B230" s="3">
        <v>12</v>
      </c>
      <c r="C230" t="s">
        <v>196</v>
      </c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</row>
    <row r="231" spans="1:14" x14ac:dyDescent="0.25">
      <c r="A231" s="3">
        <v>2018</v>
      </c>
      <c r="B231" s="3">
        <v>12</v>
      </c>
      <c r="C231" t="s">
        <v>197</v>
      </c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</row>
    <row r="232" spans="1:14" x14ac:dyDescent="0.25">
      <c r="A232" s="3">
        <v>2018</v>
      </c>
      <c r="B232" s="3">
        <v>12</v>
      </c>
      <c r="C232" t="s">
        <v>198</v>
      </c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</row>
    <row r="233" spans="1:14" x14ac:dyDescent="0.25">
      <c r="A233" s="3">
        <v>2018</v>
      </c>
      <c r="B233" s="3">
        <v>12</v>
      </c>
      <c r="C233" t="s">
        <v>199</v>
      </c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</row>
    <row r="234" spans="1:14" x14ac:dyDescent="0.25">
      <c r="A234" s="3">
        <v>2018</v>
      </c>
      <c r="B234" s="3">
        <v>12</v>
      </c>
      <c r="C234" t="s">
        <v>200</v>
      </c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</row>
    <row r="235" spans="1:14" x14ac:dyDescent="0.25">
      <c r="A235" s="3">
        <v>2018</v>
      </c>
      <c r="B235" s="3">
        <v>12</v>
      </c>
      <c r="C235" t="s">
        <v>201</v>
      </c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</row>
    <row r="236" spans="1:14" x14ac:dyDescent="0.25">
      <c r="A236" s="3">
        <v>2018</v>
      </c>
      <c r="B236" s="3">
        <v>12</v>
      </c>
      <c r="C236" t="s">
        <v>202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</row>
    <row r="237" spans="1:14" x14ac:dyDescent="0.25">
      <c r="A237" s="3">
        <v>2018</v>
      </c>
      <c r="B237" s="3">
        <v>12</v>
      </c>
      <c r="C237" t="s">
        <v>203</v>
      </c>
      <c r="D237" s="2">
        <v>-200</v>
      </c>
      <c r="E237" s="2"/>
      <c r="F237" s="2"/>
      <c r="G237" s="2"/>
      <c r="H237" s="2">
        <v>-200</v>
      </c>
      <c r="I237" s="2"/>
      <c r="J237" s="2"/>
      <c r="K237" s="2"/>
      <c r="L237" s="2"/>
      <c r="M237" s="2"/>
      <c r="N237" s="2">
        <v>-200</v>
      </c>
    </row>
    <row r="238" spans="1:14" x14ac:dyDescent="0.25">
      <c r="A238" s="3">
        <v>2018</v>
      </c>
      <c r="B238" s="3">
        <v>12</v>
      </c>
      <c r="C238" t="s">
        <v>204</v>
      </c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</row>
    <row r="239" spans="1:14" x14ac:dyDescent="0.25">
      <c r="A239" s="3">
        <v>2018</v>
      </c>
      <c r="B239" s="3">
        <v>12</v>
      </c>
      <c r="C239" t="s">
        <v>205</v>
      </c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</row>
    <row r="240" spans="1:14" x14ac:dyDescent="0.25">
      <c r="A240" s="3">
        <v>2018</v>
      </c>
      <c r="B240" s="3">
        <v>12</v>
      </c>
      <c r="C240" t="s">
        <v>206</v>
      </c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</row>
    <row r="241" spans="1:14" x14ac:dyDescent="0.25">
      <c r="A241" s="3">
        <v>2018</v>
      </c>
      <c r="B241" s="3">
        <v>12</v>
      </c>
      <c r="C241" t="s">
        <v>207</v>
      </c>
      <c r="D241" s="2"/>
      <c r="E241" s="2"/>
      <c r="F241" s="2"/>
      <c r="G241" s="2"/>
      <c r="H241" s="2"/>
      <c r="I241" s="2">
        <v>-20</v>
      </c>
      <c r="J241" s="2"/>
      <c r="K241" s="2"/>
      <c r="L241" s="2"/>
      <c r="M241" s="2">
        <v>-20</v>
      </c>
      <c r="N241" s="2">
        <v>-20</v>
      </c>
    </row>
    <row r="242" spans="1:14" x14ac:dyDescent="0.25">
      <c r="A242" s="3">
        <v>2018</v>
      </c>
      <c r="B242" s="3">
        <v>12</v>
      </c>
      <c r="C242" t="s">
        <v>208</v>
      </c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</row>
    <row r="243" spans="1:14" x14ac:dyDescent="0.25">
      <c r="A243" s="3">
        <v>2018</v>
      </c>
      <c r="B243" s="3">
        <v>12</v>
      </c>
      <c r="C243" t="s">
        <v>209</v>
      </c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</row>
    <row r="244" spans="1:14" x14ac:dyDescent="0.25">
      <c r="A244" s="3">
        <v>2018</v>
      </c>
      <c r="B244" s="3">
        <v>12</v>
      </c>
      <c r="C244" t="s">
        <v>210</v>
      </c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</row>
    <row r="245" spans="1:14" x14ac:dyDescent="0.25">
      <c r="A245" s="3">
        <v>2018</v>
      </c>
      <c r="B245" s="3">
        <v>12</v>
      </c>
      <c r="C245" t="s">
        <v>211</v>
      </c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</row>
    <row r="246" spans="1:14" x14ac:dyDescent="0.25">
      <c r="A246" s="3">
        <v>2018</v>
      </c>
      <c r="B246" s="3">
        <v>12</v>
      </c>
      <c r="C246" t="s">
        <v>212</v>
      </c>
      <c r="D246" s="2">
        <v>400</v>
      </c>
      <c r="E246" s="2"/>
      <c r="F246" s="2"/>
      <c r="G246" s="2"/>
      <c r="H246" s="2">
        <v>400</v>
      </c>
      <c r="I246" s="2">
        <v>40</v>
      </c>
      <c r="J246" s="2"/>
      <c r="K246" s="2"/>
      <c r="L246" s="2"/>
      <c r="M246" s="2">
        <v>40</v>
      </c>
      <c r="N246" s="2">
        <v>440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53"/>
  <sheetViews>
    <sheetView topLeftCell="A19" zoomScale="90" zoomScaleNormal="90" workbookViewId="0">
      <selection activeCell="E16" sqref="E16"/>
    </sheetView>
  </sheetViews>
  <sheetFormatPr defaultRowHeight="15" x14ac:dyDescent="0.25"/>
  <cols>
    <col min="1" max="1" width="10.7109375" bestFit="1" customWidth="1"/>
    <col min="3" max="3" width="19.85546875" bestFit="1" customWidth="1"/>
    <col min="12" max="12" width="13.28515625" bestFit="1" customWidth="1"/>
    <col min="13" max="13" width="7.85546875" bestFit="1" customWidth="1"/>
  </cols>
  <sheetData>
    <row r="1" spans="1:8" x14ac:dyDescent="0.25">
      <c r="A1" t="s">
        <v>14</v>
      </c>
      <c r="B1" t="s">
        <v>130</v>
      </c>
      <c r="C1" t="s">
        <v>59</v>
      </c>
      <c r="D1" t="str">
        <f t="shared" ref="D1:D21" si="0">B1&amp;"_"&amp;C1</f>
        <v>a_open</v>
      </c>
      <c r="G1" t="s">
        <v>130</v>
      </c>
      <c r="H1" t="s">
        <v>130</v>
      </c>
    </row>
    <row r="2" spans="1:8" x14ac:dyDescent="0.25">
      <c r="A2" s="53" t="s">
        <v>160</v>
      </c>
      <c r="B2" t="s">
        <v>131</v>
      </c>
      <c r="C2" t="str">
        <f>A2</f>
        <v>tfr.1.2</v>
      </c>
      <c r="D2" t="str">
        <f t="shared" si="0"/>
        <v>b_tfr.1.2</v>
      </c>
    </row>
    <row r="3" spans="1:8" x14ac:dyDescent="0.25">
      <c r="A3" s="53" t="s">
        <v>162</v>
      </c>
      <c r="B3" t="s">
        <v>144</v>
      </c>
      <c r="C3" t="str">
        <f t="shared" ref="C3:C21" si="1">A3</f>
        <v>tfr.1.3</v>
      </c>
      <c r="D3" t="str">
        <f t="shared" si="0"/>
        <v>c_tfr.1.3</v>
      </c>
    </row>
    <row r="4" spans="1:8" x14ac:dyDescent="0.25">
      <c r="A4" s="53" t="s">
        <v>165</v>
      </c>
      <c r="B4" t="s">
        <v>132</v>
      </c>
      <c r="C4" t="str">
        <f t="shared" si="1"/>
        <v>tfr.1.4</v>
      </c>
      <c r="D4" t="str">
        <f t="shared" si="0"/>
        <v>d_tfr.1.4</v>
      </c>
    </row>
    <row r="5" spans="1:8" x14ac:dyDescent="0.25">
      <c r="A5" s="53" t="s">
        <v>163</v>
      </c>
      <c r="B5" t="s">
        <v>133</v>
      </c>
      <c r="C5" t="str">
        <f t="shared" si="1"/>
        <v>tfr.1.5</v>
      </c>
      <c r="D5" t="str">
        <f t="shared" si="0"/>
        <v>e_tfr.1.5</v>
      </c>
    </row>
    <row r="6" spans="1:8" x14ac:dyDescent="0.25">
      <c r="A6" s="53" t="s">
        <v>164</v>
      </c>
      <c r="B6" t="s">
        <v>134</v>
      </c>
      <c r="C6" t="str">
        <f t="shared" si="1"/>
        <v>tfr.2.1</v>
      </c>
      <c r="D6" t="str">
        <f t="shared" si="0"/>
        <v>f_tfr.2.1</v>
      </c>
    </row>
    <row r="7" spans="1:8" x14ac:dyDescent="0.25">
      <c r="A7" s="53" t="s">
        <v>159</v>
      </c>
      <c r="B7" t="s">
        <v>146</v>
      </c>
      <c r="C7" t="str">
        <f t="shared" si="1"/>
        <v>tfr.2.3</v>
      </c>
      <c r="D7" t="str">
        <f t="shared" si="0"/>
        <v>g_tfr.2.3</v>
      </c>
    </row>
    <row r="8" spans="1:8" x14ac:dyDescent="0.25">
      <c r="A8" s="53" t="s">
        <v>166</v>
      </c>
      <c r="B8" t="s">
        <v>147</v>
      </c>
      <c r="C8" t="str">
        <f t="shared" si="1"/>
        <v>tfr.2.4</v>
      </c>
      <c r="D8" t="str">
        <f t="shared" si="0"/>
        <v>h_tfr.2.4</v>
      </c>
    </row>
    <row r="9" spans="1:8" x14ac:dyDescent="0.25">
      <c r="A9" s="53" t="s">
        <v>167</v>
      </c>
      <c r="B9" t="s">
        <v>148</v>
      </c>
      <c r="C9" t="str">
        <f t="shared" si="1"/>
        <v>tfr.2.5</v>
      </c>
      <c r="D9" t="str">
        <f t="shared" si="0"/>
        <v>i_tfr.2.5</v>
      </c>
    </row>
    <row r="10" spans="1:8" x14ac:dyDescent="0.25">
      <c r="A10" s="53" t="s">
        <v>168</v>
      </c>
      <c r="B10" t="s">
        <v>150</v>
      </c>
      <c r="C10" t="str">
        <f t="shared" si="1"/>
        <v>tfr.3.1</v>
      </c>
      <c r="D10" t="str">
        <f t="shared" si="0"/>
        <v>j_tfr.3.1</v>
      </c>
    </row>
    <row r="11" spans="1:8" x14ac:dyDescent="0.25">
      <c r="A11" s="53" t="s">
        <v>158</v>
      </c>
      <c r="B11" t="s">
        <v>151</v>
      </c>
      <c r="C11" t="str">
        <f t="shared" si="1"/>
        <v>tfr.3.2</v>
      </c>
      <c r="D11" t="str">
        <f t="shared" si="0"/>
        <v>k_tfr.3.2</v>
      </c>
    </row>
    <row r="12" spans="1:8" x14ac:dyDescent="0.25">
      <c r="A12" s="53" t="s">
        <v>169</v>
      </c>
      <c r="B12" t="s">
        <v>152</v>
      </c>
      <c r="C12" t="str">
        <f t="shared" si="1"/>
        <v>tfr.3.4</v>
      </c>
      <c r="D12" t="str">
        <f t="shared" si="0"/>
        <v>l_tfr.3.4</v>
      </c>
    </row>
    <row r="13" spans="1:8" x14ac:dyDescent="0.25">
      <c r="A13" s="53" t="s">
        <v>170</v>
      </c>
      <c r="B13" t="s">
        <v>153</v>
      </c>
      <c r="C13" t="str">
        <f t="shared" si="1"/>
        <v>tfr.3.5</v>
      </c>
      <c r="D13" t="str">
        <f t="shared" si="0"/>
        <v>m_tfr.3.5</v>
      </c>
    </row>
    <row r="14" spans="1:8" x14ac:dyDescent="0.25">
      <c r="A14" s="53" t="s">
        <v>171</v>
      </c>
      <c r="B14" t="s">
        <v>156</v>
      </c>
      <c r="C14" t="str">
        <f t="shared" si="1"/>
        <v>tfr.5.1</v>
      </c>
      <c r="D14" t="str">
        <f t="shared" si="0"/>
        <v>n_tfr.5.1</v>
      </c>
    </row>
    <row r="15" spans="1:8" x14ac:dyDescent="0.25">
      <c r="A15" s="53" t="s">
        <v>161</v>
      </c>
      <c r="B15" t="s">
        <v>178</v>
      </c>
      <c r="C15" t="str">
        <f t="shared" si="1"/>
        <v>tfr.5.2</v>
      </c>
      <c r="D15" t="str">
        <f t="shared" si="0"/>
        <v>o_tfr.5.2</v>
      </c>
    </row>
    <row r="16" spans="1:8" x14ac:dyDescent="0.25">
      <c r="A16" s="53" t="s">
        <v>172</v>
      </c>
      <c r="B16" t="s">
        <v>179</v>
      </c>
      <c r="C16" t="str">
        <f t="shared" si="1"/>
        <v>tfr.5.3</v>
      </c>
      <c r="D16" t="str">
        <f t="shared" si="0"/>
        <v>p_tfr.5.3</v>
      </c>
    </row>
    <row r="17" spans="1:8" x14ac:dyDescent="0.25">
      <c r="A17" s="53" t="s">
        <v>173</v>
      </c>
      <c r="B17" t="s">
        <v>180</v>
      </c>
      <c r="C17" t="str">
        <f t="shared" si="1"/>
        <v>tfr.5.4</v>
      </c>
      <c r="D17" t="str">
        <f t="shared" si="0"/>
        <v>q_tfr.5.4</v>
      </c>
    </row>
    <row r="18" spans="1:8" x14ac:dyDescent="0.25">
      <c r="A18" s="53" t="s">
        <v>174</v>
      </c>
      <c r="B18" t="s">
        <v>181</v>
      </c>
      <c r="C18" t="str">
        <f t="shared" si="1"/>
        <v>tfr.4.1</v>
      </c>
      <c r="D18" t="str">
        <f t="shared" si="0"/>
        <v>r_tfr.4.1</v>
      </c>
    </row>
    <row r="19" spans="1:8" x14ac:dyDescent="0.25">
      <c r="A19" s="53" t="s">
        <v>175</v>
      </c>
      <c r="B19" t="s">
        <v>182</v>
      </c>
      <c r="C19" t="str">
        <f t="shared" si="1"/>
        <v>tfr.4.2</v>
      </c>
      <c r="D19" t="str">
        <f t="shared" si="0"/>
        <v>s_tfr.4.2</v>
      </c>
    </row>
    <row r="20" spans="1:8" x14ac:dyDescent="0.25">
      <c r="A20" s="53" t="s">
        <v>176</v>
      </c>
      <c r="B20" t="s">
        <v>183</v>
      </c>
      <c r="C20" t="str">
        <f t="shared" si="1"/>
        <v>tfr.4.3</v>
      </c>
      <c r="D20" t="str">
        <f t="shared" si="0"/>
        <v>t_tfr.4.3</v>
      </c>
    </row>
    <row r="21" spans="1:8" x14ac:dyDescent="0.25">
      <c r="A21" s="53" t="s">
        <v>177</v>
      </c>
      <c r="B21" t="s">
        <v>184</v>
      </c>
      <c r="C21" t="str">
        <f t="shared" si="1"/>
        <v>tfr.4.5</v>
      </c>
      <c r="D21" t="str">
        <f t="shared" si="0"/>
        <v>u_tfr.4.5</v>
      </c>
    </row>
    <row r="22" spans="1:8" x14ac:dyDescent="0.25">
      <c r="A22" t="s">
        <v>24</v>
      </c>
      <c r="B22" t="s">
        <v>185</v>
      </c>
      <c r="C22" t="s">
        <v>136</v>
      </c>
      <c r="D22" t="str">
        <f>B22&amp;"_"&amp;C22</f>
        <v>v_drawdown_rvlv</v>
      </c>
      <c r="G22" t="s">
        <v>132</v>
      </c>
      <c r="H22" t="s">
        <v>131</v>
      </c>
    </row>
    <row r="23" spans="1:8" x14ac:dyDescent="0.25">
      <c r="A23" t="s">
        <v>32</v>
      </c>
      <c r="B23" t="s">
        <v>186</v>
      </c>
      <c r="C23" t="s">
        <v>135</v>
      </c>
      <c r="D23" t="str">
        <f>B23&amp;"_"&amp;C23</f>
        <v>w_drawdown_term</v>
      </c>
      <c r="G23" t="s">
        <v>133</v>
      </c>
      <c r="H23" t="s">
        <v>144</v>
      </c>
    </row>
    <row r="24" spans="1:8" x14ac:dyDescent="0.25">
      <c r="A24" t="s">
        <v>10</v>
      </c>
      <c r="B24" t="s">
        <v>185</v>
      </c>
      <c r="C24" t="s">
        <v>138</v>
      </c>
      <c r="D24" t="str">
        <f>B24&amp;"_"&amp;C24</f>
        <v>v_repay_rvlv</v>
      </c>
      <c r="G24" t="s">
        <v>134</v>
      </c>
      <c r="H24" t="s">
        <v>132</v>
      </c>
    </row>
    <row r="25" spans="1:8" x14ac:dyDescent="0.25">
      <c r="A25" t="s">
        <v>21</v>
      </c>
      <c r="B25" t="s">
        <v>187</v>
      </c>
      <c r="C25" t="s">
        <v>139</v>
      </c>
      <c r="D25" t="str">
        <f>B25&amp;"_"&amp;C25</f>
        <v>y_repay_term</v>
      </c>
      <c r="G25" t="s">
        <v>146</v>
      </c>
      <c r="H25" t="s">
        <v>133</v>
      </c>
    </row>
    <row r="26" spans="1:8" x14ac:dyDescent="0.25">
      <c r="A26" t="s">
        <v>17</v>
      </c>
      <c r="B26" t="s">
        <v>188</v>
      </c>
      <c r="C26" t="s">
        <v>140</v>
      </c>
      <c r="D26" t="str">
        <f>B26&amp;"_"&amp;C26</f>
        <v>z_repay_term_final</v>
      </c>
      <c r="G26" t="s">
        <v>147</v>
      </c>
      <c r="H26" t="s">
        <v>134</v>
      </c>
    </row>
    <row r="27" spans="1:8" x14ac:dyDescent="0.25">
      <c r="A27" t="s">
        <v>11</v>
      </c>
      <c r="B27" t="s">
        <v>189</v>
      </c>
      <c r="C27" t="s">
        <v>141</v>
      </c>
      <c r="D27" t="str">
        <f>B27&amp;"_"&amp;C27</f>
        <v>za_re-measure_no_migr</v>
      </c>
      <c r="G27" t="s">
        <v>148</v>
      </c>
      <c r="H27" t="s">
        <v>146</v>
      </c>
    </row>
    <row r="28" spans="1:8" x14ac:dyDescent="0.25">
      <c r="A28" t="s">
        <v>12</v>
      </c>
      <c r="B28" t="s">
        <v>190</v>
      </c>
      <c r="C28" t="s">
        <v>142</v>
      </c>
      <c r="D28" t="str">
        <f>B28&amp;"_"&amp;C28</f>
        <v>zb_re-measure_migr</v>
      </c>
      <c r="G28" t="s">
        <v>150</v>
      </c>
      <c r="H28" t="s">
        <v>147</v>
      </c>
    </row>
    <row r="29" spans="1:8" x14ac:dyDescent="0.25">
      <c r="A29" t="s">
        <v>25</v>
      </c>
      <c r="B29" t="s">
        <v>191</v>
      </c>
      <c r="C29" t="s">
        <v>145</v>
      </c>
      <c r="D29" t="str">
        <f>B29&amp;"_"&amp;C29</f>
        <v>zc_model_change</v>
      </c>
      <c r="G29" t="s">
        <v>151</v>
      </c>
      <c r="H29" t="s">
        <v>148</v>
      </c>
    </row>
    <row r="30" spans="1:8" x14ac:dyDescent="0.25">
      <c r="A30" t="s">
        <v>18</v>
      </c>
      <c r="B30" t="s">
        <v>192</v>
      </c>
      <c r="C30" t="s">
        <v>137</v>
      </c>
      <c r="D30" t="str">
        <f>B30&amp;"_"&amp;C30</f>
        <v>zd_other</v>
      </c>
      <c r="G30" t="s">
        <v>152</v>
      </c>
      <c r="H30" t="s">
        <v>152</v>
      </c>
    </row>
    <row r="31" spans="1:8" x14ac:dyDescent="0.25">
      <c r="A31" t="s">
        <v>13</v>
      </c>
      <c r="B31" t="s">
        <v>193</v>
      </c>
      <c r="C31" t="s">
        <v>143</v>
      </c>
      <c r="D31" t="str">
        <f>B31&amp;"_"&amp;C31</f>
        <v>ze_write_off</v>
      </c>
      <c r="G31" t="s">
        <v>153</v>
      </c>
      <c r="H31" t="s">
        <v>151</v>
      </c>
    </row>
    <row r="32" spans="1:8" x14ac:dyDescent="0.25">
      <c r="A32" t="s">
        <v>9</v>
      </c>
      <c r="B32" t="s">
        <v>194</v>
      </c>
      <c r="C32" t="s">
        <v>126</v>
      </c>
      <c r="D32" t="str">
        <f>B32&amp;"_"&amp;C32</f>
        <v>zf_close</v>
      </c>
      <c r="G32" t="s">
        <v>156</v>
      </c>
      <c r="H32" t="s">
        <v>153</v>
      </c>
    </row>
    <row r="34" spans="3:4" x14ac:dyDescent="0.25">
      <c r="C34" s="53"/>
    </row>
    <row r="35" spans="3:4" x14ac:dyDescent="0.25">
      <c r="C35" s="53"/>
    </row>
    <row r="36" spans="3:4" x14ac:dyDescent="0.25">
      <c r="C36" s="53"/>
      <c r="D36" s="53"/>
    </row>
    <row r="37" spans="3:4" x14ac:dyDescent="0.25">
      <c r="C37" s="53"/>
      <c r="D37" s="53"/>
    </row>
    <row r="38" spans="3:4" x14ac:dyDescent="0.25">
      <c r="C38" s="53"/>
      <c r="D38" s="53"/>
    </row>
    <row r="39" spans="3:4" x14ac:dyDescent="0.25">
      <c r="C39" s="53"/>
      <c r="D39" s="53"/>
    </row>
    <row r="40" spans="3:4" x14ac:dyDescent="0.25">
      <c r="C40" s="53"/>
      <c r="D40" s="53"/>
    </row>
    <row r="41" spans="3:4" x14ac:dyDescent="0.25">
      <c r="C41" s="53"/>
    </row>
    <row r="42" spans="3:4" x14ac:dyDescent="0.25">
      <c r="C42" s="53"/>
    </row>
    <row r="43" spans="3:4" x14ac:dyDescent="0.25">
      <c r="C43" s="53"/>
    </row>
    <row r="44" spans="3:4" x14ac:dyDescent="0.25">
      <c r="C44" s="53"/>
    </row>
    <row r="45" spans="3:4" x14ac:dyDescent="0.25">
      <c r="C45" s="53"/>
    </row>
    <row r="46" spans="3:4" x14ac:dyDescent="0.25">
      <c r="C46" s="53"/>
    </row>
    <row r="47" spans="3:4" x14ac:dyDescent="0.25">
      <c r="C47" s="53"/>
    </row>
    <row r="48" spans="3:4" x14ac:dyDescent="0.25">
      <c r="C48" s="53"/>
    </row>
    <row r="49" spans="3:3" x14ac:dyDescent="0.25">
      <c r="C49" s="53"/>
    </row>
    <row r="50" spans="3:3" x14ac:dyDescent="0.25">
      <c r="C50" s="53"/>
    </row>
    <row r="51" spans="3:3" x14ac:dyDescent="0.25">
      <c r="C51" s="53"/>
    </row>
    <row r="52" spans="3:3" x14ac:dyDescent="0.25">
      <c r="C52" s="53"/>
    </row>
    <row r="53" spans="3:3" x14ac:dyDescent="0.25">
      <c r="C53" s="53"/>
    </row>
  </sheetData>
  <sortState ref="A1:H33">
    <sortCondition ref="B1:B3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data_v01</vt:lpstr>
      <vt:lpstr>bln_mvnt</vt:lpstr>
      <vt:lpstr>bln_mvnt_long</vt:lpstr>
      <vt:lpstr>check</vt:lpstr>
      <vt:lpstr>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Brent Morrison</dc:creator>
  <cp:lastModifiedBy>Brent</cp:lastModifiedBy>
  <dcterms:created xsi:type="dcterms:W3CDTF">2018-11-17T15:46:45Z</dcterms:created>
  <dcterms:modified xsi:type="dcterms:W3CDTF">2018-11-18T20:35:51Z</dcterms:modified>
</cp:coreProperties>
</file>